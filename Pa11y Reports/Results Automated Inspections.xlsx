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Repos\open-science-case-study-with-copilot-for-accessibility\Results-Pa11y\"/>
    </mc:Choice>
  </mc:AlternateContent>
  <xr:revisionPtr revIDLastSave="0" documentId="13_ncr:1_{075DF98F-9F25-4F40-A44F-CDFFBD8E1D8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Test" sheetId="1" r:id="rId1"/>
    <sheet name="BaseWcag" sheetId="2" r:id="rId2"/>
    <sheet name="GeneralResults" sheetId="3" r:id="rId3"/>
    <sheet name="WCAGPrincipleResult" sheetId="4" r:id="rId4"/>
    <sheet name="WCAGGuidelineResult" sheetId="5" r:id="rId5"/>
    <sheet name="WCAGGuidelineResultDynamic" sheetId="16" r:id="rId6"/>
    <sheet name="WCAGSuccessCriteriaResult" sheetId="6" r:id="rId7"/>
  </sheets>
  <definedNames>
    <definedName name="_xlnm._FilterDatabase" localSheetId="0" hidden="1">BaseTest!$A$1:$H$16</definedName>
    <definedName name="_xlnm._FilterDatabase" localSheetId="1" hidden="1">BaseWcag!$A$1:$B$109</definedName>
    <definedName name="_xlnm._FilterDatabase" localSheetId="2" hidden="1">GeneralResults!$A$1:$F$72</definedName>
    <definedName name="_xlnm._FilterDatabase" localSheetId="4" hidden="1">WCAGGuidelineResult!$A$1:$E$14</definedName>
    <definedName name="_xlnm._FilterDatabase" localSheetId="3" hidden="1">WCAGPrincipleResult!$A$1:$C$5</definedName>
    <definedName name="_xlnm._FilterDatabase" localSheetId="6" hidden="1">WCAGSuccessCriteriaResult!$A$1:$E$79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3maUoQeCt+1Ul+jZwKnwSBYbQEqrY/fW2fPp5VU96s4="/>
    </ext>
  </extLst>
</workbook>
</file>

<file path=xl/calcChain.xml><?xml version="1.0" encoding="utf-8"?>
<calcChain xmlns="http://schemas.openxmlformats.org/spreadsheetml/2006/main">
  <c r="E72" i="3" l="1"/>
  <c r="F72" i="3" s="1"/>
  <c r="D72" i="3"/>
  <c r="C72" i="3"/>
  <c r="B72" i="3"/>
  <c r="A72" i="3"/>
  <c r="E71" i="3"/>
  <c r="F71" i="3" s="1"/>
  <c r="D71" i="3"/>
  <c r="C71" i="3"/>
  <c r="B71" i="3"/>
  <c r="A71" i="3"/>
  <c r="E70" i="3"/>
  <c r="F70" i="3" s="1"/>
  <c r="D70" i="3"/>
  <c r="C70" i="3"/>
  <c r="B70" i="3"/>
  <c r="A70" i="3"/>
  <c r="E69" i="3"/>
  <c r="F69" i="3" s="1"/>
  <c r="D69" i="3"/>
  <c r="C69" i="3"/>
  <c r="B69" i="3"/>
  <c r="A69" i="3"/>
  <c r="E68" i="3"/>
  <c r="F68" i="3" s="1"/>
  <c r="D68" i="3"/>
  <c r="C68" i="3"/>
  <c r="B68" i="3"/>
  <c r="A68" i="3"/>
  <c r="E67" i="3"/>
  <c r="F67" i="3" s="1"/>
  <c r="D67" i="3"/>
  <c r="C67" i="3"/>
  <c r="B67" i="3"/>
  <c r="A67" i="3"/>
  <c r="E66" i="3"/>
  <c r="F66" i="3" s="1"/>
  <c r="D66" i="3"/>
  <c r="C66" i="3"/>
  <c r="B66" i="3"/>
  <c r="A66" i="3"/>
  <c r="E65" i="3"/>
  <c r="F65" i="3" s="1"/>
  <c r="D65" i="3"/>
  <c r="C65" i="3"/>
  <c r="B65" i="3"/>
  <c r="A65" i="3"/>
  <c r="E64" i="3"/>
  <c r="F64" i="3" s="1"/>
  <c r="D64" i="3"/>
  <c r="C64" i="3"/>
  <c r="B64" i="3"/>
  <c r="A64" i="3"/>
  <c r="E63" i="3"/>
  <c r="F63" i="3" s="1"/>
  <c r="D63" i="3"/>
  <c r="C63" i="3"/>
  <c r="B63" i="3"/>
  <c r="A63" i="3"/>
  <c r="E62" i="3"/>
  <c r="F62" i="3" s="1"/>
  <c r="D62" i="3"/>
  <c r="C62" i="3"/>
  <c r="B62" i="3"/>
  <c r="A62" i="3"/>
  <c r="E61" i="3"/>
  <c r="F61" i="3" s="1"/>
  <c r="D61" i="3"/>
  <c r="C61" i="3"/>
  <c r="B61" i="3"/>
  <c r="A61" i="3"/>
  <c r="E60" i="3"/>
  <c r="F60" i="3" s="1"/>
  <c r="D60" i="3"/>
  <c r="C60" i="3"/>
  <c r="B60" i="3"/>
  <c r="A60" i="3"/>
  <c r="E59" i="3"/>
  <c r="F59" i="3" s="1"/>
  <c r="D59" i="3"/>
  <c r="C59" i="3"/>
  <c r="B59" i="3"/>
  <c r="A59" i="3"/>
  <c r="E58" i="3"/>
  <c r="F58" i="3" s="1"/>
  <c r="D58" i="3"/>
  <c r="C58" i="3"/>
  <c r="B58" i="3"/>
  <c r="A58" i="3"/>
  <c r="E57" i="3"/>
  <c r="F57" i="3" s="1"/>
  <c r="D57" i="3"/>
  <c r="C57" i="3"/>
  <c r="B57" i="3"/>
  <c r="A57" i="3"/>
  <c r="E56" i="3"/>
  <c r="F56" i="3" s="1"/>
  <c r="D56" i="3"/>
  <c r="C56" i="3"/>
  <c r="B56" i="3"/>
  <c r="A56" i="3"/>
  <c r="E55" i="3"/>
  <c r="F55" i="3" s="1"/>
  <c r="D55" i="3"/>
  <c r="C55" i="3"/>
  <c r="B55" i="3"/>
  <c r="A55" i="3"/>
  <c r="E54" i="3"/>
  <c r="F54" i="3" s="1"/>
  <c r="D54" i="3"/>
  <c r="C54" i="3"/>
  <c r="B54" i="3"/>
  <c r="A54" i="3"/>
  <c r="E53" i="3"/>
  <c r="F53" i="3" s="1"/>
  <c r="D53" i="3"/>
  <c r="C53" i="3"/>
  <c r="B53" i="3"/>
  <c r="A53" i="3"/>
  <c r="E52" i="3"/>
  <c r="F52" i="3" s="1"/>
  <c r="D52" i="3"/>
  <c r="C52" i="3"/>
  <c r="B52" i="3"/>
  <c r="A52" i="3"/>
  <c r="E51" i="3"/>
  <c r="F51" i="3" s="1"/>
  <c r="D51" i="3"/>
  <c r="C51" i="3"/>
  <c r="B51" i="3"/>
  <c r="A51" i="3"/>
  <c r="E50" i="3"/>
  <c r="F50" i="3" s="1"/>
  <c r="D50" i="3"/>
  <c r="C50" i="3"/>
  <c r="B50" i="3"/>
  <c r="A50" i="3"/>
  <c r="E49" i="3"/>
  <c r="F49" i="3" s="1"/>
  <c r="D49" i="3"/>
  <c r="C49" i="3"/>
  <c r="B49" i="3"/>
  <c r="A49" i="3"/>
  <c r="E48" i="3"/>
  <c r="F48" i="3" s="1"/>
  <c r="D48" i="3"/>
  <c r="C48" i="3"/>
  <c r="B48" i="3"/>
  <c r="A48" i="3"/>
  <c r="E47" i="3"/>
  <c r="F47" i="3" s="1"/>
  <c r="D47" i="3"/>
  <c r="C47" i="3"/>
  <c r="B47" i="3"/>
  <c r="A47" i="3"/>
  <c r="E46" i="3"/>
  <c r="F46" i="3" s="1"/>
  <c r="D46" i="3"/>
  <c r="C46" i="3"/>
  <c r="B46" i="3"/>
  <c r="A46" i="3"/>
  <c r="E45" i="3"/>
  <c r="F45" i="3" s="1"/>
  <c r="D45" i="3"/>
  <c r="C45" i="3"/>
  <c r="B45" i="3"/>
  <c r="A45" i="3"/>
  <c r="E44" i="3"/>
  <c r="F44" i="3" s="1"/>
  <c r="D44" i="3"/>
  <c r="C44" i="3"/>
  <c r="B44" i="3"/>
  <c r="A44" i="3"/>
  <c r="E43" i="3"/>
  <c r="F43" i="3" s="1"/>
  <c r="D43" i="3"/>
  <c r="C43" i="3"/>
  <c r="B43" i="3"/>
  <c r="A43" i="3"/>
  <c r="E42" i="3"/>
  <c r="F42" i="3" s="1"/>
  <c r="D42" i="3"/>
  <c r="C42" i="3"/>
  <c r="B42" i="3"/>
  <c r="A42" i="3"/>
  <c r="E41" i="3"/>
  <c r="F41" i="3" s="1"/>
  <c r="D41" i="3"/>
  <c r="C41" i="3"/>
  <c r="B41" i="3"/>
  <c r="A41" i="3"/>
  <c r="E40" i="3"/>
  <c r="F40" i="3" s="1"/>
  <c r="D40" i="3"/>
  <c r="C40" i="3"/>
  <c r="B40" i="3"/>
  <c r="A40" i="3"/>
  <c r="E39" i="3"/>
  <c r="F39" i="3" s="1"/>
  <c r="D39" i="3"/>
  <c r="C39" i="3"/>
  <c r="B39" i="3"/>
  <c r="A39" i="3"/>
  <c r="E38" i="3"/>
  <c r="F38" i="3" s="1"/>
  <c r="D38" i="3"/>
  <c r="C38" i="3"/>
  <c r="B38" i="3"/>
  <c r="A38" i="3"/>
  <c r="E37" i="3"/>
  <c r="F37" i="3" s="1"/>
  <c r="D37" i="3"/>
  <c r="C37" i="3"/>
  <c r="B37" i="3"/>
  <c r="A37" i="3"/>
  <c r="E36" i="3"/>
  <c r="F36" i="3" s="1"/>
  <c r="D36" i="3"/>
  <c r="C36" i="3"/>
  <c r="B36" i="3"/>
  <c r="A36" i="3"/>
  <c r="E35" i="3"/>
  <c r="F35" i="3" s="1"/>
  <c r="D35" i="3"/>
  <c r="C35" i="3"/>
  <c r="B35" i="3"/>
  <c r="A35" i="3"/>
  <c r="E34" i="3"/>
  <c r="F34" i="3" s="1"/>
  <c r="D34" i="3"/>
  <c r="C34" i="3"/>
  <c r="B34" i="3"/>
  <c r="A34" i="3"/>
  <c r="E33" i="3"/>
  <c r="F33" i="3" s="1"/>
  <c r="D33" i="3"/>
  <c r="C33" i="3"/>
  <c r="B33" i="3"/>
  <c r="A33" i="3"/>
  <c r="E32" i="3"/>
  <c r="F32" i="3" s="1"/>
  <c r="D32" i="3"/>
  <c r="C32" i="3"/>
  <c r="B32" i="3"/>
  <c r="A32" i="3"/>
  <c r="E31" i="3"/>
  <c r="F31" i="3" s="1"/>
  <c r="D31" i="3"/>
  <c r="C31" i="3"/>
  <c r="B31" i="3"/>
  <c r="A31" i="3"/>
  <c r="E30" i="3"/>
  <c r="F30" i="3" s="1"/>
  <c r="D30" i="3"/>
  <c r="C30" i="3"/>
  <c r="B30" i="3"/>
  <c r="A30" i="3"/>
  <c r="E29" i="3"/>
  <c r="F29" i="3" s="1"/>
  <c r="D29" i="3"/>
  <c r="C29" i="3"/>
  <c r="B29" i="3"/>
  <c r="A29" i="3"/>
  <c r="E28" i="3"/>
  <c r="F28" i="3" s="1"/>
  <c r="D28" i="3"/>
  <c r="C28" i="3"/>
  <c r="B28" i="3"/>
  <c r="A28" i="3"/>
  <c r="E27" i="3"/>
  <c r="F27" i="3" s="1"/>
  <c r="D27" i="3"/>
  <c r="C27" i="3"/>
  <c r="B27" i="3"/>
  <c r="A27" i="3"/>
  <c r="E26" i="3"/>
  <c r="F26" i="3" s="1"/>
  <c r="D26" i="3"/>
  <c r="C26" i="3"/>
  <c r="B26" i="3"/>
  <c r="A26" i="3"/>
  <c r="E25" i="3"/>
  <c r="F25" i="3" s="1"/>
  <c r="D25" i="3"/>
  <c r="C25" i="3"/>
  <c r="B25" i="3"/>
  <c r="A25" i="3"/>
  <c r="E24" i="3"/>
  <c r="F24" i="3" s="1"/>
  <c r="D24" i="3"/>
  <c r="C24" i="3"/>
  <c r="B24" i="3"/>
  <c r="A24" i="3"/>
  <c r="E23" i="3"/>
  <c r="F23" i="3" s="1"/>
  <c r="D23" i="3"/>
  <c r="C23" i="3"/>
  <c r="B23" i="3"/>
  <c r="A23" i="3"/>
  <c r="E22" i="3"/>
  <c r="F22" i="3" s="1"/>
  <c r="D22" i="3"/>
  <c r="C22" i="3"/>
  <c r="B22" i="3"/>
  <c r="A22" i="3"/>
  <c r="E21" i="3"/>
  <c r="F21" i="3" s="1"/>
  <c r="D21" i="3"/>
  <c r="C21" i="3"/>
  <c r="B21" i="3"/>
  <c r="A21" i="3"/>
  <c r="E20" i="3"/>
  <c r="F20" i="3" s="1"/>
  <c r="D20" i="3"/>
  <c r="C20" i="3"/>
  <c r="B20" i="3"/>
  <c r="A20" i="3"/>
  <c r="E19" i="3"/>
  <c r="F19" i="3" s="1"/>
  <c r="D19" i="3"/>
  <c r="C19" i="3"/>
  <c r="B19" i="3"/>
  <c r="A19" i="3"/>
  <c r="E18" i="3"/>
  <c r="F18" i="3" s="1"/>
  <c r="D18" i="3"/>
  <c r="C18" i="3"/>
  <c r="B18" i="3"/>
  <c r="A18" i="3"/>
  <c r="E17" i="3"/>
  <c r="F17" i="3" s="1"/>
  <c r="D17" i="3"/>
  <c r="C17" i="3"/>
  <c r="B17" i="3"/>
  <c r="A17" i="3"/>
  <c r="E16" i="3"/>
  <c r="F16" i="3" s="1"/>
  <c r="D16" i="3"/>
  <c r="C16" i="3"/>
  <c r="B16" i="3"/>
  <c r="A16" i="3"/>
  <c r="E15" i="3"/>
  <c r="F15" i="3" s="1"/>
  <c r="D15" i="3"/>
  <c r="C15" i="3"/>
  <c r="B15" i="3"/>
  <c r="A15" i="3"/>
  <c r="E14" i="3"/>
  <c r="F14" i="3" s="1"/>
  <c r="D14" i="3"/>
  <c r="C14" i="3"/>
  <c r="B14" i="3"/>
  <c r="A14" i="3"/>
  <c r="E13" i="3"/>
  <c r="F13" i="3" s="1"/>
  <c r="D13" i="3"/>
  <c r="C13" i="3"/>
  <c r="B13" i="3"/>
  <c r="A13" i="3"/>
  <c r="E12" i="3"/>
  <c r="F12" i="3" s="1"/>
  <c r="D12" i="3"/>
  <c r="C12" i="3"/>
  <c r="B12" i="3"/>
  <c r="A12" i="3"/>
  <c r="E11" i="3"/>
  <c r="F11" i="3" s="1"/>
  <c r="D11" i="3"/>
  <c r="C11" i="3"/>
  <c r="B11" i="3"/>
  <c r="A11" i="3"/>
  <c r="E10" i="3"/>
  <c r="F10" i="3" s="1"/>
  <c r="D10" i="3"/>
  <c r="C10" i="3"/>
  <c r="B10" i="3"/>
  <c r="A10" i="3"/>
  <c r="E9" i="3"/>
  <c r="F9" i="3" s="1"/>
  <c r="D9" i="3"/>
  <c r="C9" i="3"/>
  <c r="B9" i="3"/>
  <c r="A9" i="3"/>
  <c r="E8" i="3"/>
  <c r="F8" i="3" s="1"/>
  <c r="D8" i="3"/>
  <c r="C8" i="3"/>
  <c r="B8" i="3"/>
  <c r="A8" i="3"/>
  <c r="E7" i="3"/>
  <c r="F7" i="3" s="1"/>
  <c r="D7" i="3"/>
  <c r="C7" i="3"/>
  <c r="B7" i="3"/>
  <c r="A7" i="3"/>
  <c r="E6" i="3"/>
  <c r="F6" i="3" s="1"/>
  <c r="D6" i="3"/>
  <c r="C6" i="3"/>
  <c r="B6" i="3"/>
  <c r="A6" i="3"/>
  <c r="E5" i="3"/>
  <c r="F5" i="3" s="1"/>
  <c r="D5" i="3"/>
  <c r="C5" i="3"/>
  <c r="B5" i="3"/>
  <c r="A5" i="3"/>
  <c r="E4" i="3"/>
  <c r="F4" i="3" s="1"/>
  <c r="D4" i="3"/>
  <c r="C4" i="3"/>
  <c r="B4" i="3"/>
  <c r="A4" i="3"/>
  <c r="E3" i="3"/>
  <c r="F3" i="3" s="1"/>
  <c r="D3" i="3"/>
  <c r="C3" i="3"/>
  <c r="B3" i="3"/>
  <c r="A3" i="3"/>
  <c r="E2" i="3"/>
  <c r="D2" i="3"/>
  <c r="C2" i="3"/>
  <c r="B2" i="3"/>
  <c r="A2" i="3"/>
  <c r="D12" i="6" l="1"/>
  <c r="B4" i="4"/>
  <c r="D12" i="5"/>
  <c r="D79" i="6"/>
  <c r="C21" i="6"/>
  <c r="C47" i="6"/>
  <c r="C7" i="6"/>
  <c r="C14" i="6"/>
  <c r="C27" i="6"/>
  <c r="C33" i="6"/>
  <c r="C39" i="6"/>
  <c r="D53" i="6"/>
  <c r="C60" i="6"/>
  <c r="C70" i="6"/>
  <c r="F2" i="3"/>
  <c r="D7" i="6"/>
  <c r="E7" i="6" s="1"/>
  <c r="D14" i="6"/>
  <c r="D21" i="6"/>
  <c r="D27" i="6"/>
  <c r="D33" i="6"/>
  <c r="D39" i="6"/>
  <c r="D47" i="6"/>
  <c r="C54" i="6"/>
  <c r="C61" i="6"/>
  <c r="C71" i="6"/>
  <c r="C8" i="6"/>
  <c r="C28" i="6"/>
  <c r="C40" i="6"/>
  <c r="C62" i="6"/>
  <c r="C44" i="6"/>
  <c r="C2" i="6"/>
  <c r="C15" i="6"/>
  <c r="C22" i="6"/>
  <c r="C34" i="6"/>
  <c r="C48" i="6"/>
  <c r="D54" i="6"/>
  <c r="E54" i="6" s="1"/>
  <c r="D71" i="6"/>
  <c r="D2" i="6"/>
  <c r="D8" i="6"/>
  <c r="D15" i="6"/>
  <c r="D22" i="6"/>
  <c r="D28" i="6"/>
  <c r="D34" i="6"/>
  <c r="D40" i="6"/>
  <c r="D48" i="6"/>
  <c r="C55" i="6"/>
  <c r="C63" i="6"/>
  <c r="C72" i="6"/>
  <c r="C3" i="6"/>
  <c r="C9" i="6"/>
  <c r="C16" i="6"/>
  <c r="C23" i="6"/>
  <c r="C29" i="6"/>
  <c r="C35" i="6"/>
  <c r="C41" i="6"/>
  <c r="C49" i="6"/>
  <c r="D55" i="6"/>
  <c r="D63" i="6"/>
  <c r="C73" i="6"/>
  <c r="D3" i="6"/>
  <c r="E3" i="6" s="1"/>
  <c r="D9" i="6"/>
  <c r="D16" i="6"/>
  <c r="E16" i="6" s="1"/>
  <c r="D23" i="6"/>
  <c r="D29" i="6"/>
  <c r="D35" i="6"/>
  <c r="D41" i="6"/>
  <c r="D49" i="6"/>
  <c r="C56" i="6"/>
  <c r="C64" i="6"/>
  <c r="C74" i="6"/>
  <c r="C4" i="6"/>
  <c r="C10" i="6"/>
  <c r="E10" i="6" s="1"/>
  <c r="C17" i="6"/>
  <c r="C24" i="6"/>
  <c r="C30" i="6"/>
  <c r="C36" i="6"/>
  <c r="C42" i="6"/>
  <c r="C50" i="6"/>
  <c r="C57" i="6"/>
  <c r="C65" i="6"/>
  <c r="C75" i="6"/>
  <c r="D4" i="6"/>
  <c r="D10" i="6"/>
  <c r="D17" i="6"/>
  <c r="E17" i="6" s="1"/>
  <c r="D24" i="6"/>
  <c r="D30" i="6"/>
  <c r="D36" i="6"/>
  <c r="D42" i="6"/>
  <c r="D50" i="6"/>
  <c r="E50" i="6" s="1"/>
  <c r="D57" i="6"/>
  <c r="C66" i="6"/>
  <c r="D75" i="6"/>
  <c r="E75" i="6" s="1"/>
  <c r="C78" i="6"/>
  <c r="C5" i="6"/>
  <c r="C11" i="6"/>
  <c r="C18" i="6"/>
  <c r="E18" i="6" s="1"/>
  <c r="C25" i="6"/>
  <c r="C31" i="6"/>
  <c r="C37" i="6"/>
  <c r="C43" i="6"/>
  <c r="C51" i="6"/>
  <c r="C58" i="6"/>
  <c r="C67" i="6"/>
  <c r="C76" i="6"/>
  <c r="D5" i="6"/>
  <c r="D11" i="6"/>
  <c r="D18" i="6"/>
  <c r="D25" i="6"/>
  <c r="E25" i="6" s="1"/>
  <c r="D31" i="6"/>
  <c r="D37" i="6"/>
  <c r="E37" i="6" s="1"/>
  <c r="D43" i="6"/>
  <c r="D51" i="6"/>
  <c r="D58" i="6"/>
  <c r="E58" i="6" s="1"/>
  <c r="D67" i="6"/>
  <c r="D77" i="6"/>
  <c r="C6" i="6"/>
  <c r="C13" i="6"/>
  <c r="C19" i="6"/>
  <c r="C26" i="6"/>
  <c r="C32" i="6"/>
  <c r="E32" i="6" s="1"/>
  <c r="C38" i="6"/>
  <c r="C46" i="6"/>
  <c r="C52" i="6"/>
  <c r="C59" i="6"/>
  <c r="C68" i="6"/>
  <c r="C79" i="6"/>
  <c r="D6" i="6"/>
  <c r="D13" i="6"/>
  <c r="D19" i="6"/>
  <c r="D26" i="6"/>
  <c r="D32" i="6"/>
  <c r="D38" i="6"/>
  <c r="E38" i="6" s="1"/>
  <c r="D46" i="6"/>
  <c r="C53" i="6"/>
  <c r="D59" i="6"/>
  <c r="C69" i="6"/>
  <c r="E14" i="6"/>
  <c r="E21" i="6"/>
  <c r="E27" i="6"/>
  <c r="E33" i="6"/>
  <c r="E22" i="6"/>
  <c r="E28" i="6"/>
  <c r="E34" i="6"/>
  <c r="E40" i="6"/>
  <c r="C20" i="6"/>
  <c r="E57" i="6"/>
  <c r="E49" i="6"/>
  <c r="E39" i="6"/>
  <c r="C2" i="4"/>
  <c r="D78" i="6"/>
  <c r="E78" i="6" s="1"/>
  <c r="D44" i="6"/>
  <c r="E44" i="6" s="1"/>
  <c r="D45" i="6"/>
  <c r="E55" i="6"/>
  <c r="E63" i="6"/>
  <c r="E9" i="6"/>
  <c r="E35" i="6"/>
  <c r="E41" i="6"/>
  <c r="E4" i="6"/>
  <c r="E30" i="6"/>
  <c r="E42" i="6"/>
  <c r="E67" i="6"/>
  <c r="E6" i="6"/>
  <c r="E79" i="6"/>
  <c r="E71" i="6"/>
  <c r="E48" i="6"/>
  <c r="E46" i="6"/>
  <c r="E47" i="6"/>
  <c r="C13" i="5"/>
  <c r="C12" i="6"/>
  <c r="E12" i="6" s="1"/>
  <c r="C9" i="5"/>
  <c r="B5" i="4"/>
  <c r="D5" i="5"/>
  <c r="D9" i="5"/>
  <c r="D20" i="6"/>
  <c r="D52" i="6"/>
  <c r="E52" i="6" s="1"/>
  <c r="D56" i="6"/>
  <c r="E56" i="6" s="1"/>
  <c r="D60" i="6"/>
  <c r="E60" i="6" s="1"/>
  <c r="D64" i="6"/>
  <c r="E64" i="6" s="1"/>
  <c r="D68" i="6"/>
  <c r="D72" i="6"/>
  <c r="D76" i="6"/>
  <c r="E76" i="6" s="1"/>
  <c r="C4" i="4"/>
  <c r="C5" i="5"/>
  <c r="D13" i="5"/>
  <c r="C5" i="4"/>
  <c r="C2" i="5"/>
  <c r="C6" i="5"/>
  <c r="C10" i="5"/>
  <c r="C14" i="5"/>
  <c r="C45" i="6"/>
  <c r="C77" i="6"/>
  <c r="E77" i="6" s="1"/>
  <c r="D2" i="5"/>
  <c r="D10" i="5"/>
  <c r="D6" i="5"/>
  <c r="D14" i="5"/>
  <c r="D61" i="6"/>
  <c r="E61" i="6" s="1"/>
  <c r="D65" i="6"/>
  <c r="E65" i="6" s="1"/>
  <c r="D69" i="6"/>
  <c r="D73" i="6"/>
  <c r="E73" i="6" s="1"/>
  <c r="C3" i="5"/>
  <c r="C7" i="5"/>
  <c r="C11" i="5"/>
  <c r="B2" i="4"/>
  <c r="D3" i="5"/>
  <c r="D7" i="5"/>
  <c r="D11" i="5"/>
  <c r="D62" i="6"/>
  <c r="E62" i="6" s="1"/>
  <c r="D66" i="6"/>
  <c r="E66" i="6" s="1"/>
  <c r="D70" i="6"/>
  <c r="E70" i="6" s="1"/>
  <c r="D74" i="6"/>
  <c r="E74" i="6" s="1"/>
  <c r="B3" i="4"/>
  <c r="C4" i="5"/>
  <c r="C8" i="5"/>
  <c r="C12" i="5"/>
  <c r="E12" i="5" s="1"/>
  <c r="C3" i="4"/>
  <c r="D4" i="5"/>
  <c r="D8" i="5"/>
  <c r="E26" i="6" l="1"/>
  <c r="E19" i="6"/>
  <c r="E11" i="6"/>
  <c r="E5" i="6"/>
  <c r="E13" i="6"/>
  <c r="E59" i="6"/>
  <c r="E51" i="6"/>
  <c r="E43" i="6"/>
  <c r="E36" i="6"/>
  <c r="E29" i="6"/>
  <c r="E23" i="6"/>
  <c r="E15" i="6"/>
  <c r="E72" i="6"/>
  <c r="E53" i="6"/>
  <c r="E31" i="6"/>
  <c r="E24" i="6"/>
  <c r="E2" i="6"/>
  <c r="E8" i="6"/>
  <c r="E69" i="6"/>
  <c r="E68" i="6"/>
  <c r="E20" i="6"/>
  <c r="E45" i="6"/>
  <c r="E9" i="5"/>
  <c r="E3" i="5"/>
  <c r="E5" i="5"/>
  <c r="E13" i="5"/>
  <c r="E11" i="5"/>
  <c r="E14" i="5"/>
  <c r="E10" i="5"/>
  <c r="E4" i="5"/>
  <c r="E6" i="5"/>
  <c r="E8" i="5"/>
  <c r="E7" i="5"/>
  <c r="E2" i="5"/>
</calcChain>
</file>

<file path=xl/sharedStrings.xml><?xml version="1.0" encoding="utf-8"?>
<sst xmlns="http://schemas.openxmlformats.org/spreadsheetml/2006/main" count="934" uniqueCount="244">
  <si>
    <t>Type</t>
  </si>
  <si>
    <t>Compliance</t>
  </si>
  <si>
    <t>Principle Code</t>
  </si>
  <si>
    <t>Guideline Code</t>
  </si>
  <si>
    <t>Success Criteria Code</t>
  </si>
  <si>
    <t>Specific Reference</t>
  </si>
  <si>
    <t>Researcher</t>
  </si>
  <si>
    <t>Resource</t>
  </si>
  <si>
    <t>error</t>
  </si>
  <si>
    <t>AA</t>
  </si>
  <si>
    <t>2.4</t>
  </si>
  <si>
    <t>2.4.2</t>
  </si>
  <si>
    <t>H25</t>
  </si>
  <si>
    <t>P1</t>
  </si>
  <si>
    <t>Beging Section</t>
  </si>
  <si>
    <t>1.4</t>
  </si>
  <si>
    <t>1.4.3</t>
  </si>
  <si>
    <t>G18</t>
  </si>
  <si>
    <t>Considerations Section</t>
  </si>
  <si>
    <t>4.1</t>
  </si>
  <si>
    <t>4.1.2</t>
  </si>
  <si>
    <t>H91</t>
  </si>
  <si>
    <t>1.3</t>
  </si>
  <si>
    <t>1.3.1</t>
  </si>
  <si>
    <t>F68</t>
  </si>
  <si>
    <t>Personas Section</t>
  </si>
  <si>
    <t>Quiz Section</t>
  </si>
  <si>
    <t>About Section</t>
  </si>
  <si>
    <t>2.4.1</t>
  </si>
  <si>
    <t>H64</t>
  </si>
  <si>
    <t>P2</t>
  </si>
  <si>
    <t>Layer WCAG Code</t>
  </si>
  <si>
    <t>Layer WCAG Description</t>
  </si>
  <si>
    <t>Perceivable</t>
  </si>
  <si>
    <t>1.1</t>
  </si>
  <si>
    <t>Text Alternatives</t>
  </si>
  <si>
    <t>1.1.1</t>
  </si>
  <si>
    <t>Non-text Content</t>
  </si>
  <si>
    <t>1.2</t>
  </si>
  <si>
    <t>Time-based Media</t>
  </si>
  <si>
    <t>1.2.1</t>
  </si>
  <si>
    <t>Audio-only and Video-only (Prerecorded)</t>
  </si>
  <si>
    <t>1.2.2</t>
  </si>
  <si>
    <t>Captions (Prerecorded)</t>
  </si>
  <si>
    <t>1.2.3</t>
  </si>
  <si>
    <t>Audio Description or Media Alternative (Prerecorded)</t>
  </si>
  <si>
    <t>1.2.4</t>
  </si>
  <si>
    <t>Captions (Live)</t>
  </si>
  <si>
    <t>1.2.5</t>
  </si>
  <si>
    <t>Audio Description (Prerecorded)</t>
  </si>
  <si>
    <t>1.2.6</t>
  </si>
  <si>
    <t>Sign Language (Prerecorded)</t>
  </si>
  <si>
    <t>1.2.7</t>
  </si>
  <si>
    <t>Extended Audio Description (Prerecorded)</t>
  </si>
  <si>
    <t>1.2.8</t>
  </si>
  <si>
    <t>Media Alternative (Prerecorded)</t>
  </si>
  <si>
    <t>1.2.9</t>
  </si>
  <si>
    <t>Audio-only (Live)</t>
  </si>
  <si>
    <t>Adaptable</t>
  </si>
  <si>
    <t>Info and Relationships</t>
  </si>
  <si>
    <t>1.3.2</t>
  </si>
  <si>
    <t>Meaningful Sequence</t>
  </si>
  <si>
    <t>1.3.3</t>
  </si>
  <si>
    <t>Sensory Characteristics</t>
  </si>
  <si>
    <t>1.3.4</t>
  </si>
  <si>
    <t>Orientation</t>
  </si>
  <si>
    <t>1.3.5</t>
  </si>
  <si>
    <t>Identify Input Purpose</t>
  </si>
  <si>
    <t>1.3.6</t>
  </si>
  <si>
    <t>Identify Purpose</t>
  </si>
  <si>
    <t>Distinguishable</t>
  </si>
  <si>
    <t>1.4.1</t>
  </si>
  <si>
    <t>Use of Color</t>
  </si>
  <si>
    <t>1.4.2</t>
  </si>
  <si>
    <t>Audio Control</t>
  </si>
  <si>
    <t>Contrast (Minimum)</t>
  </si>
  <si>
    <t>1.4.4</t>
  </si>
  <si>
    <t>Resize Text</t>
  </si>
  <si>
    <t>1.4.5</t>
  </si>
  <si>
    <t>Images of Text</t>
  </si>
  <si>
    <t>1.4.6</t>
  </si>
  <si>
    <t>Contrast (Enhanced)</t>
  </si>
  <si>
    <t>1.4.7</t>
  </si>
  <si>
    <t>Low or No Background Audio</t>
  </si>
  <si>
    <t>1.4.8</t>
  </si>
  <si>
    <t>Visual Presentation</t>
  </si>
  <si>
    <t>1.4.9</t>
  </si>
  <si>
    <t>Images of Text (No Exception)</t>
  </si>
  <si>
    <t>1.4.10</t>
  </si>
  <si>
    <t>Reflow</t>
  </si>
  <si>
    <t>1.4.11</t>
  </si>
  <si>
    <t>Non-text Contrast</t>
  </si>
  <si>
    <t>1.4.12</t>
  </si>
  <si>
    <t>Text Spacing</t>
  </si>
  <si>
    <t>1.4.13</t>
  </si>
  <si>
    <t>Content on Hover or Focus</t>
  </si>
  <si>
    <t>Operable</t>
  </si>
  <si>
    <t>2.1</t>
  </si>
  <si>
    <t>Keyboard Accessible</t>
  </si>
  <si>
    <t>2.1.1</t>
  </si>
  <si>
    <t>Keyboard</t>
  </si>
  <si>
    <t>2.1.2</t>
  </si>
  <si>
    <t>No Keyboard Trap</t>
  </si>
  <si>
    <t>2.1.3</t>
  </si>
  <si>
    <t>Keyboard (No Exception)</t>
  </si>
  <si>
    <t>2.1.4</t>
  </si>
  <si>
    <t>Character Key Shortcuts</t>
  </si>
  <si>
    <t>2.2</t>
  </si>
  <si>
    <t>Enough Time</t>
  </si>
  <si>
    <t>2.2.1</t>
  </si>
  <si>
    <t>Timing Adjustable</t>
  </si>
  <si>
    <t>2.2.2</t>
  </si>
  <si>
    <t>Pause, Stop, Hide</t>
  </si>
  <si>
    <t>2.2.3</t>
  </si>
  <si>
    <t>No Timing</t>
  </si>
  <si>
    <t>2.2.4</t>
  </si>
  <si>
    <t>Interruptions</t>
  </si>
  <si>
    <t>2.2.5</t>
  </si>
  <si>
    <t>Re-authenticating</t>
  </si>
  <si>
    <t>2.2.6</t>
  </si>
  <si>
    <t>Timeouts</t>
  </si>
  <si>
    <t>2.3</t>
  </si>
  <si>
    <t>Seizures and Physical Reactions</t>
  </si>
  <si>
    <t>2.3.1</t>
  </si>
  <si>
    <t>Three Flashes or Below Threshold</t>
  </si>
  <si>
    <t>2.3.2</t>
  </si>
  <si>
    <t>Three Flashes</t>
  </si>
  <si>
    <t>2.3.3</t>
  </si>
  <si>
    <t>Animation from Interactions</t>
  </si>
  <si>
    <t>Navigable</t>
  </si>
  <si>
    <t>Bypass Blocks</t>
  </si>
  <si>
    <t>Page Titled</t>
  </si>
  <si>
    <t>2.4.3</t>
  </si>
  <si>
    <t>Focus Order</t>
  </si>
  <si>
    <t>2.4.4</t>
  </si>
  <si>
    <t>Link Purpose (In Context)</t>
  </si>
  <si>
    <t>2.4.5</t>
  </si>
  <si>
    <t>Multiple Ways</t>
  </si>
  <si>
    <t>2.4.6</t>
  </si>
  <si>
    <t>Headings and Labels</t>
  </si>
  <si>
    <t>2.4.7</t>
  </si>
  <si>
    <t>Focus Visible</t>
  </si>
  <si>
    <t>2.4.8</t>
  </si>
  <si>
    <t>Location</t>
  </si>
  <si>
    <t>2.4.9</t>
  </si>
  <si>
    <t>Link Purpose (Link Only)</t>
  </si>
  <si>
    <t>2.4.10</t>
  </si>
  <si>
    <t>Section Headings</t>
  </si>
  <si>
    <t>2.5</t>
  </si>
  <si>
    <t>Input Modalities</t>
  </si>
  <si>
    <t>2.5.1</t>
  </si>
  <si>
    <t>Pointer Gestures</t>
  </si>
  <si>
    <t>2.5.2</t>
  </si>
  <si>
    <t>Pointer Cancellation</t>
  </si>
  <si>
    <t>2.5.3</t>
  </si>
  <si>
    <t>Label in Name</t>
  </si>
  <si>
    <t>2.5.4</t>
  </si>
  <si>
    <t>Motion Actuation</t>
  </si>
  <si>
    <t>2.5.5</t>
  </si>
  <si>
    <t>Target Size</t>
  </si>
  <si>
    <t>2.5.6</t>
  </si>
  <si>
    <t>Concurrent Input Mechanisms</t>
  </si>
  <si>
    <t>Understandable</t>
  </si>
  <si>
    <t>3.1</t>
  </si>
  <si>
    <t>Readable</t>
  </si>
  <si>
    <t>3.1.1</t>
  </si>
  <si>
    <t>Language of Page</t>
  </si>
  <si>
    <t>3.1.2</t>
  </si>
  <si>
    <t>Language of Parts</t>
  </si>
  <si>
    <t>3.1.3</t>
  </si>
  <si>
    <t>Unusual Words</t>
  </si>
  <si>
    <t>3.1.4</t>
  </si>
  <si>
    <t>Abbreviations</t>
  </si>
  <si>
    <t>3.1.5</t>
  </si>
  <si>
    <t>Reading Level</t>
  </si>
  <si>
    <t>3.1.6</t>
  </si>
  <si>
    <t>Pronunciation</t>
  </si>
  <si>
    <t>3.2</t>
  </si>
  <si>
    <t>Predictable</t>
  </si>
  <si>
    <t>3.2.1</t>
  </si>
  <si>
    <t>On Focus</t>
  </si>
  <si>
    <t>3.2.2</t>
  </si>
  <si>
    <t>On Input</t>
  </si>
  <si>
    <t>3.2.3</t>
  </si>
  <si>
    <t>Consistent Navigation</t>
  </si>
  <si>
    <t>3.2.4</t>
  </si>
  <si>
    <t>Consistent Identification</t>
  </si>
  <si>
    <t>3.2.5</t>
  </si>
  <si>
    <t>Change on Request</t>
  </si>
  <si>
    <t>3.3</t>
  </si>
  <si>
    <t>Input Assistance</t>
  </si>
  <si>
    <t>3.3.1</t>
  </si>
  <si>
    <t>Error Identification</t>
  </si>
  <si>
    <t>3.3.2</t>
  </si>
  <si>
    <t>Labels or Instructions</t>
  </si>
  <si>
    <t>3.3.3</t>
  </si>
  <si>
    <t>Error Suggestion</t>
  </si>
  <si>
    <t>3.3.4</t>
  </si>
  <si>
    <t>Error Prevention (Legal, Financial, Data)</t>
  </si>
  <si>
    <t>3.3.5</t>
  </si>
  <si>
    <t>Help</t>
  </si>
  <si>
    <t>3.3.6</t>
  </si>
  <si>
    <t>Error Prevention (All)</t>
  </si>
  <si>
    <t>Robust</t>
  </si>
  <si>
    <t>Compatible</t>
  </si>
  <si>
    <t>4.1.1</t>
  </si>
  <si>
    <t>Parsing</t>
  </si>
  <si>
    <t>Name, Role, Value</t>
  </si>
  <si>
    <t>4.1.3</t>
  </si>
  <si>
    <t>Status Messages</t>
  </si>
  <si>
    <t>Conformance</t>
  </si>
  <si>
    <t>5.1</t>
  </si>
  <si>
    <t>Interpreting Normative Requirements</t>
  </si>
  <si>
    <t>5.2</t>
  </si>
  <si>
    <t>Conformance Requirements</t>
  </si>
  <si>
    <t>5.2.1</t>
  </si>
  <si>
    <t>Conformance Level</t>
  </si>
  <si>
    <t>5.2.2</t>
  </si>
  <si>
    <t>Full pages</t>
  </si>
  <si>
    <t>5.2.3</t>
  </si>
  <si>
    <t>Complete processes</t>
  </si>
  <si>
    <t>5.2.4</t>
  </si>
  <si>
    <t>Only Accessibility-Supported Ways of Using Technologies</t>
  </si>
  <si>
    <t>5.2.5</t>
  </si>
  <si>
    <t>Non-Interference</t>
  </si>
  <si>
    <t>5.3</t>
  </si>
  <si>
    <t>Conformance Claims (Optional)</t>
  </si>
  <si>
    <t>5.3.1</t>
  </si>
  <si>
    <t>Required Components of a Conformance Claim</t>
  </si>
  <si>
    <t>5.3.2</t>
  </si>
  <si>
    <t>Optional Components of a Conformance Claim</t>
  </si>
  <si>
    <t>5.4</t>
  </si>
  <si>
    <t>Statement of Partial Conformance - Third Party Content</t>
  </si>
  <si>
    <t>5.5</t>
  </si>
  <si>
    <t>Statement of Partial Conformance - Language</t>
  </si>
  <si>
    <t>Principle Description</t>
  </si>
  <si>
    <t>Guideline Description</t>
  </si>
  <si>
    <t>Success Criteria Description</t>
  </si>
  <si>
    <t>Has Violation</t>
  </si>
  <si>
    <t>Guideline</t>
  </si>
  <si>
    <t>Rótulos de Linha</t>
  </si>
  <si>
    <t>Total Geral</t>
  </si>
  <si>
    <t>Soma de P1</t>
  </si>
  <si>
    <t>Soma de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</si>
</sst>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FFFFFF"/>
      <name val="Docs-Calibri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2" fillId="2" borderId="1" xfId="0" applyFont="1" applyFill="1" applyBorder="1" applyAlignment="1">
      <alignment horizontal="left"/>
    </xf>
    <xf numFmtId="0" fontId="4" fillId="3" borderId="0" xfId="0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mruColors>
      <color rgb="FF448FAF"/>
      <color rgb="FF142C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P1</c:v>
          </c:tx>
          <c:spPr>
            <a:solidFill>
              <a:srgbClr val="142C4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WCAGPrincipleResult!$A$2:$A$5</c:f>
              <c:strCache>
                <c:ptCount val="3"/>
                <c:pt idx="0">
                  <c:v>Perceivable</c:v>
                </c:pt>
                <c:pt idx="1">
                  <c:v>Operable</c:v>
                </c:pt>
                <c:pt idx="2">
                  <c:v>Robust</c:v>
                </c:pt>
              </c:strCache>
            </c:strRef>
          </c:cat>
          <c:val>
            <c:numRef>
              <c:f>WCAGPrincipleResult!$B$2:$B$5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B2-41A3-BF5B-1D329CBA3280}"/>
            </c:ext>
          </c:extLst>
        </c:ser>
        <c:ser>
          <c:idx val="1"/>
          <c:order val="1"/>
          <c:tx>
            <c:v>P2</c:v>
          </c:tx>
          <c:spPr>
            <a:solidFill>
              <a:srgbClr val="448FA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WCAGPrincipleResult!$A$2:$A$5</c:f>
              <c:strCache>
                <c:ptCount val="3"/>
                <c:pt idx="0">
                  <c:v>Perceivable</c:v>
                </c:pt>
                <c:pt idx="1">
                  <c:v>Operable</c:v>
                </c:pt>
                <c:pt idx="2">
                  <c:v>Robust</c:v>
                </c:pt>
              </c:strCache>
            </c:strRef>
          </c:cat>
          <c:val>
            <c:numRef>
              <c:f>WCAGPrincipleResult!$C$2:$C$5</c:f>
              <c:numCache>
                <c:formatCode>General</c:formatCode>
                <c:ptCount val="3"/>
                <c:pt idx="0">
                  <c:v>37</c:v>
                </c:pt>
                <c:pt idx="1">
                  <c:v>7</c:v>
                </c:pt>
                <c:pt idx="2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6B2-41A3-BF5B-1D329CBA3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4961243"/>
        <c:axId val="1131340318"/>
      </c:barChart>
      <c:catAx>
        <c:axId val="1374961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131340318"/>
        <c:crosses val="autoZero"/>
        <c:auto val="1"/>
        <c:lblAlgn val="ctr"/>
        <c:lblOffset val="100"/>
        <c:noMultiLvlLbl val="1"/>
      </c:catAx>
      <c:valAx>
        <c:axId val="1131340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pt-BR"/>
          </a:p>
        </c:txPr>
        <c:crossAx val="137496124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3577765069869062"/>
          <c:y val="0.89628148408426633"/>
          <c:w val="0.12844469860261881"/>
          <c:h val="5.7741504421480787E-2"/>
        </c:manualLayout>
      </c:layout>
      <c:overlay val="0"/>
      <c:spPr>
        <a:ln w="3175">
          <a:solidFill>
            <a:schemeClr val="bg2">
              <a:lumMod val="50000"/>
            </a:schemeClr>
          </a:solidFill>
        </a:ln>
      </c:spPr>
      <c:txPr>
        <a:bodyPr/>
        <a:lstStyle/>
        <a:p>
          <a:pPr>
            <a:defRPr sz="1400"/>
          </a:pPr>
          <a:endParaRPr lang="pt-BR"/>
        </a:p>
      </c:txPr>
    </c:legend>
    <c:plotVisOnly val="1"/>
    <c:dispBlanksAs val="zero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P1</c:v>
          </c:tx>
          <c:spPr>
            <a:solidFill>
              <a:srgbClr val="142C4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WCAGGuidelineResult!$B$2:$B$14</c:f>
              <c:strCache>
                <c:ptCount val="4"/>
                <c:pt idx="0">
                  <c:v>Adaptable</c:v>
                </c:pt>
                <c:pt idx="1">
                  <c:v>Distinguishable</c:v>
                </c:pt>
                <c:pt idx="2">
                  <c:v>Navigable</c:v>
                </c:pt>
                <c:pt idx="3">
                  <c:v>Compatible</c:v>
                </c:pt>
              </c:strCache>
            </c:strRef>
          </c:cat>
          <c:val>
            <c:numRef>
              <c:f>WCAGGuidelineResult!$C$2:$C$14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89-4398-AF00-D2D4AE1F5079}"/>
            </c:ext>
          </c:extLst>
        </c:ser>
        <c:ser>
          <c:idx val="1"/>
          <c:order val="1"/>
          <c:tx>
            <c:v>P2</c:v>
          </c:tx>
          <c:spPr>
            <a:solidFill>
              <a:srgbClr val="448FA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WCAGGuidelineResult!$B$2:$B$14</c:f>
              <c:strCache>
                <c:ptCount val="4"/>
                <c:pt idx="0">
                  <c:v>Adaptable</c:v>
                </c:pt>
                <c:pt idx="1">
                  <c:v>Distinguishable</c:v>
                </c:pt>
                <c:pt idx="2">
                  <c:v>Navigable</c:v>
                </c:pt>
                <c:pt idx="3">
                  <c:v>Compatible</c:v>
                </c:pt>
              </c:strCache>
            </c:strRef>
          </c:cat>
          <c:val>
            <c:numRef>
              <c:f>WCAGGuidelineResult!$D$2:$D$14</c:f>
              <c:numCache>
                <c:formatCode>General</c:formatCode>
                <c:ptCount val="4"/>
                <c:pt idx="0">
                  <c:v>11</c:v>
                </c:pt>
                <c:pt idx="1">
                  <c:v>26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189-4398-AF00-D2D4AE1F5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615897"/>
        <c:axId val="1055403879"/>
      </c:barChart>
      <c:catAx>
        <c:axId val="894615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055403879"/>
        <c:crosses val="autoZero"/>
        <c:auto val="1"/>
        <c:lblAlgn val="ctr"/>
        <c:lblOffset val="100"/>
        <c:noMultiLvlLbl val="1"/>
      </c:catAx>
      <c:valAx>
        <c:axId val="1055403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pt-BR"/>
          </a:p>
        </c:txPr>
        <c:crossAx val="89461589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34403345801461"/>
          <c:y val="0.9125086646116497"/>
          <c:w val="0.13119315862977898"/>
          <c:h val="5.7741504421480787E-2"/>
        </c:manualLayout>
      </c:layout>
      <c:overlay val="0"/>
      <c:spPr>
        <a:ln w="3175">
          <a:solidFill>
            <a:schemeClr val="bg2">
              <a:lumMod val="50000"/>
            </a:schemeClr>
          </a:solidFill>
        </a:ln>
      </c:spPr>
      <c:txPr>
        <a:bodyPr/>
        <a:lstStyle/>
        <a:p>
          <a:pPr>
            <a:defRPr sz="1400"/>
          </a:pPr>
          <a:endParaRPr lang="pt-BR"/>
        </a:p>
      </c:txPr>
    </c:legend>
    <c:plotVisOnly val="1"/>
    <c:dispBlanksAs val="zero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Automated Inspections.xlsx]WCAGGuidelineResultDynamic!Tabela dinâmica7</c:name>
    <c:fmtId val="0"/>
  </c:pivotSource>
  <c:chart>
    <c:autoTitleDeleted val="0"/>
    <c:pivotFmts>
      <c:pivotFmt>
        <c:idx val="0"/>
        <c:spPr>
          <a:solidFill>
            <a:srgbClr val="142C48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8FAF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WCAGGuidelineResultDynamic!$B$1</c:f>
              <c:strCache>
                <c:ptCount val="1"/>
                <c:pt idx="0">
                  <c:v>Soma de P1</c:v>
                </c:pt>
              </c:strCache>
            </c:strRef>
          </c:tx>
          <c:spPr>
            <a:solidFill>
              <a:srgbClr val="142C48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WCAGGuidelineResultDynamic!$A$2:$A$9</c:f>
              <c:multiLvlStrCache>
                <c:ptCount val="4"/>
                <c:lvl>
                  <c:pt idx="0">
                    <c:v>Navigable</c:v>
                  </c:pt>
                  <c:pt idx="1">
                    <c:v>Adaptable</c:v>
                  </c:pt>
                  <c:pt idx="2">
                    <c:v>Distinguishable</c:v>
                  </c:pt>
                  <c:pt idx="3">
                    <c:v>Compatible</c:v>
                  </c:pt>
                </c:lvl>
                <c:lvl>
                  <c:pt idx="0">
                    <c:v>Operable</c:v>
                  </c:pt>
                  <c:pt idx="1">
                    <c:v>Perceivable</c:v>
                  </c:pt>
                  <c:pt idx="3">
                    <c:v>Robust</c:v>
                  </c:pt>
                </c:lvl>
              </c:multiLvlStrCache>
            </c:multiLvlStrRef>
          </c:cat>
          <c:val>
            <c:numRef>
              <c:f>WCAGGuidelineResultDynamic!$B$2:$B$9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26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D-48B5-8025-FCFFCDDF5EF5}"/>
            </c:ext>
          </c:extLst>
        </c:ser>
        <c:ser>
          <c:idx val="1"/>
          <c:order val="1"/>
          <c:tx>
            <c:strRef>
              <c:f>WCAGGuidelineResultDynamic!$C$1</c:f>
              <c:strCache>
                <c:ptCount val="1"/>
                <c:pt idx="0">
                  <c:v>Soma de P2</c:v>
                </c:pt>
              </c:strCache>
            </c:strRef>
          </c:tx>
          <c:spPr>
            <a:solidFill>
              <a:srgbClr val="448FAF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WCAGGuidelineResultDynamic!$A$2:$A$9</c:f>
              <c:multiLvlStrCache>
                <c:ptCount val="4"/>
                <c:lvl>
                  <c:pt idx="0">
                    <c:v>Navigable</c:v>
                  </c:pt>
                  <c:pt idx="1">
                    <c:v>Adaptable</c:v>
                  </c:pt>
                  <c:pt idx="2">
                    <c:v>Distinguishable</c:v>
                  </c:pt>
                  <c:pt idx="3">
                    <c:v>Compatible</c:v>
                  </c:pt>
                </c:lvl>
                <c:lvl>
                  <c:pt idx="0">
                    <c:v>Operable</c:v>
                  </c:pt>
                  <c:pt idx="1">
                    <c:v>Perceivable</c:v>
                  </c:pt>
                  <c:pt idx="3">
                    <c:v>Robust</c:v>
                  </c:pt>
                </c:lvl>
              </c:multiLvlStrCache>
            </c:multiLvlStrRef>
          </c:cat>
          <c:val>
            <c:numRef>
              <c:f>WCAGGuidelineResultDynamic!$C$2:$C$9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D-48B5-8025-FCFFCDDF5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25073183"/>
        <c:axId val="225072223"/>
      </c:barChart>
      <c:catAx>
        <c:axId val="22507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25072223"/>
        <c:crosses val="autoZero"/>
        <c:auto val="1"/>
        <c:lblAlgn val="ctr"/>
        <c:lblOffset val="100"/>
        <c:noMultiLvlLbl val="0"/>
      </c:catAx>
      <c:valAx>
        <c:axId val="2250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2507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">
          <a:solidFill>
            <a:schemeClr val="bg2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P1</c:v>
          </c:tx>
          <c:spPr>
            <a:solidFill>
              <a:srgbClr val="142C4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>
                    <a:solidFill>
                      <a:schemeClr val="tx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WCAGSuccessCriteriaResult!$B$2:$B$79</c:f>
              <c:strCache>
                <c:ptCount val="5"/>
                <c:pt idx="0">
                  <c:v>Info and Relationships</c:v>
                </c:pt>
                <c:pt idx="1">
                  <c:v>Contrast (Minimum)</c:v>
                </c:pt>
                <c:pt idx="2">
                  <c:v>Bypass Blocks</c:v>
                </c:pt>
                <c:pt idx="3">
                  <c:v>Page Titled</c:v>
                </c:pt>
                <c:pt idx="4">
                  <c:v>Name, Role, Value</c:v>
                </c:pt>
              </c:strCache>
            </c:strRef>
          </c:cat>
          <c:val>
            <c:numRef>
              <c:f>WCAGSuccessCriteriaResult!$C$2:$C$79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22-4A6A-B534-F27C744CE23F}"/>
            </c:ext>
          </c:extLst>
        </c:ser>
        <c:ser>
          <c:idx val="1"/>
          <c:order val="1"/>
          <c:tx>
            <c:v>P2</c:v>
          </c:tx>
          <c:spPr>
            <a:solidFill>
              <a:srgbClr val="448FA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WCAGSuccessCriteriaResult!$B$2:$B$79</c:f>
              <c:strCache>
                <c:ptCount val="5"/>
                <c:pt idx="0">
                  <c:v>Info and Relationships</c:v>
                </c:pt>
                <c:pt idx="1">
                  <c:v>Contrast (Minimum)</c:v>
                </c:pt>
                <c:pt idx="2">
                  <c:v>Bypass Blocks</c:v>
                </c:pt>
                <c:pt idx="3">
                  <c:v>Page Titled</c:v>
                </c:pt>
                <c:pt idx="4">
                  <c:v>Name, Role, Value</c:v>
                </c:pt>
              </c:strCache>
            </c:strRef>
          </c:cat>
          <c:val>
            <c:numRef>
              <c:f>WCAGSuccessCriteriaResult!$D$2:$D$79</c:f>
              <c:numCache>
                <c:formatCode>General</c:formatCode>
                <c:ptCount val="5"/>
                <c:pt idx="0">
                  <c:v>11</c:v>
                </c:pt>
                <c:pt idx="1">
                  <c:v>26</c:v>
                </c:pt>
                <c:pt idx="2">
                  <c:v>1</c:v>
                </c:pt>
                <c:pt idx="3">
                  <c:v>6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22-4A6A-B534-F27C744CE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7458129"/>
        <c:axId val="378025890"/>
      </c:barChart>
      <c:catAx>
        <c:axId val="1787458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378025890"/>
        <c:crosses val="autoZero"/>
        <c:auto val="1"/>
        <c:lblAlgn val="ctr"/>
        <c:lblOffset val="100"/>
        <c:noMultiLvlLbl val="1"/>
      </c:catAx>
      <c:valAx>
        <c:axId val="378025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pt-BR"/>
          </a:p>
        </c:txPr>
        <c:crossAx val="178745812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4376590835465468"/>
          <c:y val="0.89143688249159936"/>
          <c:w val="0.11582670554090059"/>
          <c:h val="6.0438559829702816E-2"/>
        </c:manualLayout>
      </c:layout>
      <c:overlay val="0"/>
      <c:spPr>
        <a:ln w="3175">
          <a:solidFill>
            <a:schemeClr val="bg2">
              <a:lumMod val="50000"/>
            </a:schemeClr>
          </a:solidFill>
        </a:ln>
      </c:spPr>
      <c:txPr>
        <a:bodyPr/>
        <a:lstStyle/>
        <a:p>
          <a:pPr>
            <a:defRPr sz="1400"/>
          </a:pPr>
          <a:endParaRPr lang="pt-BR"/>
        </a:p>
      </c:txPr>
    </c:legend>
    <c:plotVisOnly val="1"/>
    <c:dispBlanksAs val="zero"/>
    <c:showDLblsOverMax val="1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28575</xdr:rowOff>
    </xdr:from>
    <xdr:ext cx="6819900" cy="4695825"/>
    <xdr:graphicFrame macro="">
      <xdr:nvGraphicFramePr>
        <xdr:cNvPr id="715440105" name="Chart 1" title="Gráfico">
          <a:extLst>
            <a:ext uri="{FF2B5EF4-FFF2-40B4-BE49-F238E27FC236}">
              <a16:creationId xmlns:a16="http://schemas.microsoft.com/office/drawing/2014/main" id="{00000000-0008-0000-0300-0000E9BFA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0</xdr:row>
      <xdr:rowOff>0</xdr:rowOff>
    </xdr:from>
    <xdr:ext cx="6677025" cy="4695825"/>
    <xdr:graphicFrame macro="">
      <xdr:nvGraphicFramePr>
        <xdr:cNvPr id="58985758" name="Chart 2" title="Gráfico">
          <a:extLst>
            <a:ext uri="{FF2B5EF4-FFF2-40B4-BE49-F238E27FC236}">
              <a16:creationId xmlns:a16="http://schemas.microsoft.com/office/drawing/2014/main" id="{00000000-0008-0000-0400-00001E0D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502920</xdr:colOff>
      <xdr:row>30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C33AE4-0E9B-854D-3A33-0FE74928C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0</xdr:row>
      <xdr:rowOff>19050</xdr:rowOff>
    </xdr:from>
    <xdr:ext cx="7562850" cy="4486275"/>
    <xdr:graphicFrame macro="">
      <xdr:nvGraphicFramePr>
        <xdr:cNvPr id="1713021729" name="Chart 3" title="Gráfico">
          <a:extLst>
            <a:ext uri="{FF2B5EF4-FFF2-40B4-BE49-F238E27FC236}">
              <a16:creationId xmlns:a16="http://schemas.microsoft.com/office/drawing/2014/main" id="{00000000-0008-0000-0500-000021A31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Teran" refreshedDate="45363.612249189813" createdVersion="8" refreshedVersion="8" minRefreshableVersion="3" recordCount="13" xr:uid="{BB80011E-C652-4905-8A92-6FEA35B88A9D}">
  <cacheSource type="worksheet">
    <worksheetSource ref="A1:D14" sheet="Planilha9"/>
  </cacheSource>
  <cacheFields count="4">
    <cacheField name="Principle Description" numFmtId="0">
      <sharedItems count="4">
        <s v="Perceivable"/>
        <s v="Operable"/>
        <s v="Understandable"/>
        <s v="Robust"/>
      </sharedItems>
    </cacheField>
    <cacheField name="Guideline Description" numFmtId="0">
      <sharedItems count="13">
        <s v="Text Alternatives"/>
        <s v="Time-based Media"/>
        <s v="Adaptable"/>
        <s v="Distinguishable"/>
        <s v="Keyboard Accessible"/>
        <s v="Enough Time"/>
        <s v="Seizures and Physical Reactions"/>
        <s v="Navigable"/>
        <s v="Input Modalities"/>
        <s v="Readable"/>
        <s v="Predictable"/>
        <s v="Input Assistance"/>
        <s v="Compatible"/>
      </sharedItems>
    </cacheField>
    <cacheField name="P1" numFmtId="0">
      <sharedItems containsSemiMixedTypes="0" containsString="0" containsNumber="1" containsInteger="1" minValue="0" maxValue="26"/>
    </cacheField>
    <cacheField name="P2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0"/>
    <n v="0"/>
  </r>
  <r>
    <x v="0"/>
    <x v="1"/>
    <n v="0"/>
    <n v="0"/>
  </r>
  <r>
    <x v="0"/>
    <x v="2"/>
    <n v="11"/>
    <n v="1"/>
  </r>
  <r>
    <x v="0"/>
    <x v="3"/>
    <n v="26"/>
    <n v="6"/>
  </r>
  <r>
    <x v="1"/>
    <x v="4"/>
    <n v="0"/>
    <n v="0"/>
  </r>
  <r>
    <x v="1"/>
    <x v="5"/>
    <n v="0"/>
    <n v="0"/>
  </r>
  <r>
    <x v="1"/>
    <x v="6"/>
    <n v="0"/>
    <n v="0"/>
  </r>
  <r>
    <x v="1"/>
    <x v="7"/>
    <n v="7"/>
    <n v="7"/>
  </r>
  <r>
    <x v="1"/>
    <x v="8"/>
    <n v="0"/>
    <n v="0"/>
  </r>
  <r>
    <x v="2"/>
    <x v="9"/>
    <n v="0"/>
    <n v="0"/>
  </r>
  <r>
    <x v="2"/>
    <x v="10"/>
    <n v="0"/>
    <n v="0"/>
  </r>
  <r>
    <x v="2"/>
    <x v="11"/>
    <n v="0"/>
    <n v="0"/>
  </r>
  <r>
    <x v="3"/>
    <x v="12"/>
    <n v="1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66CE9-8B42-4530-89B2-BB3CF274D77D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C9" firstHeaderRow="0" firstDataRow="1" firstDataCol="1"/>
  <pivotFields count="4">
    <pivotField axis="axisRow" showAll="0">
      <items count="5">
        <item x="1"/>
        <item x="0"/>
        <item x="3"/>
        <item x="2"/>
        <item t="default"/>
      </items>
    </pivotField>
    <pivotField axis="axisRow" showAll="0" measureFilter="1">
      <items count="14">
        <item x="2"/>
        <item x="12"/>
        <item x="3"/>
        <item x="5"/>
        <item x="11"/>
        <item x="8"/>
        <item x="4"/>
        <item x="7"/>
        <item x="10"/>
        <item x="9"/>
        <item x="6"/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8">
    <i>
      <x/>
    </i>
    <i r="1">
      <x v="7"/>
    </i>
    <i>
      <x v="1"/>
    </i>
    <i r="1">
      <x/>
    </i>
    <i r="1">
      <x v="2"/>
    </i>
    <i>
      <x v="2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1" fld="2" baseField="0" baseItem="0"/>
    <dataField name="Soma de P2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A2" sqref="A2:H72"/>
    </sheetView>
  </sheetViews>
  <sheetFormatPr defaultColWidth="14.42578125" defaultRowHeight="15" customHeight="1"/>
  <cols>
    <col min="1" max="1" width="8.7109375" customWidth="1"/>
    <col min="2" max="2" width="13.85546875" customWidth="1"/>
    <col min="3" max="3" width="15" customWidth="1"/>
    <col min="4" max="4" width="14.28515625" customWidth="1"/>
    <col min="5" max="5" width="24.85546875" customWidth="1"/>
    <col min="6" max="6" width="19.85546875" customWidth="1"/>
    <col min="7" max="7" width="11.85546875" customWidth="1"/>
    <col min="8" max="8" width="32.28515625" customWidth="1"/>
    <col min="9" max="26" width="8.7109375" customWidth="1"/>
  </cols>
  <sheetData>
    <row r="1" spans="1:8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 t="s">
        <v>9</v>
      </c>
      <c r="C2" s="4">
        <v>2</v>
      </c>
      <c r="D2" s="6" t="s">
        <v>10</v>
      </c>
      <c r="E2" s="7" t="s">
        <v>11</v>
      </c>
      <c r="F2" s="4" t="s">
        <v>12</v>
      </c>
      <c r="G2" s="5" t="s">
        <v>13</v>
      </c>
      <c r="H2" s="4" t="s">
        <v>14</v>
      </c>
    </row>
    <row r="3" spans="1:8">
      <c r="A3" s="4" t="s">
        <v>8</v>
      </c>
      <c r="B3" s="5" t="s">
        <v>9</v>
      </c>
      <c r="C3" s="4">
        <v>1</v>
      </c>
      <c r="D3" s="6" t="s">
        <v>15</v>
      </c>
      <c r="E3" s="7" t="s">
        <v>16</v>
      </c>
      <c r="F3" s="4" t="s">
        <v>17</v>
      </c>
      <c r="G3" s="5" t="s">
        <v>13</v>
      </c>
      <c r="H3" s="4" t="s">
        <v>14</v>
      </c>
    </row>
    <row r="4" spans="1:8">
      <c r="A4" s="4" t="s">
        <v>8</v>
      </c>
      <c r="B4" s="5" t="s">
        <v>9</v>
      </c>
      <c r="C4" s="4">
        <v>2</v>
      </c>
      <c r="D4" s="6" t="s">
        <v>10</v>
      </c>
      <c r="E4" s="7" t="s">
        <v>11</v>
      </c>
      <c r="F4" s="4" t="s">
        <v>12</v>
      </c>
      <c r="G4" s="5" t="s">
        <v>13</v>
      </c>
      <c r="H4" s="4" t="s">
        <v>18</v>
      </c>
    </row>
    <row r="5" spans="1:8">
      <c r="A5" s="4" t="s">
        <v>8</v>
      </c>
      <c r="B5" s="5" t="s">
        <v>9</v>
      </c>
      <c r="C5" s="4">
        <v>1</v>
      </c>
      <c r="D5" s="6" t="s">
        <v>15</v>
      </c>
      <c r="E5" s="7" t="s">
        <v>16</v>
      </c>
      <c r="F5" s="4" t="s">
        <v>17</v>
      </c>
      <c r="G5" s="5" t="s">
        <v>13</v>
      </c>
      <c r="H5" s="4" t="s">
        <v>18</v>
      </c>
    </row>
    <row r="6" spans="1:8">
      <c r="A6" s="4" t="s">
        <v>8</v>
      </c>
      <c r="B6" s="5" t="s">
        <v>9</v>
      </c>
      <c r="C6" s="4">
        <v>4</v>
      </c>
      <c r="D6" s="6" t="s">
        <v>19</v>
      </c>
      <c r="E6" s="7" t="s">
        <v>20</v>
      </c>
      <c r="F6" s="4" t="s">
        <v>21</v>
      </c>
      <c r="G6" s="5" t="s">
        <v>13</v>
      </c>
      <c r="H6" s="4" t="s">
        <v>18</v>
      </c>
    </row>
    <row r="7" spans="1:8">
      <c r="A7" s="4" t="s">
        <v>8</v>
      </c>
      <c r="B7" s="5" t="s">
        <v>9</v>
      </c>
      <c r="C7" s="4">
        <v>1</v>
      </c>
      <c r="D7" s="6" t="s">
        <v>22</v>
      </c>
      <c r="E7" s="7" t="s">
        <v>23</v>
      </c>
      <c r="F7" s="4" t="s">
        <v>24</v>
      </c>
      <c r="G7" s="5" t="s">
        <v>13</v>
      </c>
      <c r="H7" s="4" t="s">
        <v>18</v>
      </c>
    </row>
    <row r="8" spans="1:8">
      <c r="A8" s="4" t="s">
        <v>8</v>
      </c>
      <c r="B8" s="5" t="s">
        <v>9</v>
      </c>
      <c r="C8" s="4">
        <v>2</v>
      </c>
      <c r="D8" s="6" t="s">
        <v>10</v>
      </c>
      <c r="E8" s="7" t="s">
        <v>11</v>
      </c>
      <c r="F8" s="4" t="s">
        <v>12</v>
      </c>
      <c r="G8" s="5" t="s">
        <v>13</v>
      </c>
      <c r="H8" s="4" t="s">
        <v>18</v>
      </c>
    </row>
    <row r="9" spans="1:8">
      <c r="A9" s="4" t="s">
        <v>8</v>
      </c>
      <c r="B9" s="5" t="s">
        <v>9</v>
      </c>
      <c r="C9" s="4">
        <v>1</v>
      </c>
      <c r="D9" s="6" t="s">
        <v>15</v>
      </c>
      <c r="E9" s="7" t="s">
        <v>16</v>
      </c>
      <c r="F9" s="4" t="s">
        <v>17</v>
      </c>
      <c r="G9" s="5" t="s">
        <v>13</v>
      </c>
      <c r="H9" s="4" t="s">
        <v>18</v>
      </c>
    </row>
    <row r="10" spans="1:8">
      <c r="A10" s="4" t="s">
        <v>8</v>
      </c>
      <c r="B10" s="5" t="s">
        <v>9</v>
      </c>
      <c r="C10" s="4">
        <v>2</v>
      </c>
      <c r="D10" s="6" t="s">
        <v>10</v>
      </c>
      <c r="E10" s="7" t="s">
        <v>11</v>
      </c>
      <c r="F10" s="4" t="s">
        <v>12</v>
      </c>
      <c r="G10" s="5" t="s">
        <v>13</v>
      </c>
      <c r="H10" s="4" t="s">
        <v>25</v>
      </c>
    </row>
    <row r="11" spans="1:8">
      <c r="A11" s="4" t="s">
        <v>8</v>
      </c>
      <c r="B11" s="5" t="s">
        <v>9</v>
      </c>
      <c r="C11" s="4">
        <v>1</v>
      </c>
      <c r="D11" s="6" t="s">
        <v>15</v>
      </c>
      <c r="E11" s="7" t="s">
        <v>16</v>
      </c>
      <c r="F11" s="4" t="s">
        <v>17</v>
      </c>
      <c r="G11" s="5" t="s">
        <v>13</v>
      </c>
      <c r="H11" s="4" t="s">
        <v>25</v>
      </c>
    </row>
    <row r="12" spans="1:8">
      <c r="A12" s="4" t="s">
        <v>8</v>
      </c>
      <c r="B12" s="5" t="s">
        <v>9</v>
      </c>
      <c r="C12" s="4">
        <v>2</v>
      </c>
      <c r="D12" s="6" t="s">
        <v>10</v>
      </c>
      <c r="E12" s="7" t="s">
        <v>11</v>
      </c>
      <c r="F12" s="4" t="s">
        <v>12</v>
      </c>
      <c r="G12" s="5" t="s">
        <v>13</v>
      </c>
      <c r="H12" s="4" t="s">
        <v>26</v>
      </c>
    </row>
    <row r="13" spans="1:8">
      <c r="A13" s="4" t="s">
        <v>8</v>
      </c>
      <c r="B13" s="5" t="s">
        <v>9</v>
      </c>
      <c r="C13" s="4">
        <v>1</v>
      </c>
      <c r="D13" s="6" t="s">
        <v>15</v>
      </c>
      <c r="E13" s="7" t="s">
        <v>16</v>
      </c>
      <c r="F13" s="4" t="s">
        <v>17</v>
      </c>
      <c r="G13" s="5" t="s">
        <v>13</v>
      </c>
      <c r="H13" s="4" t="s">
        <v>26</v>
      </c>
    </row>
    <row r="14" spans="1:8">
      <c r="A14" s="4" t="s">
        <v>8</v>
      </c>
      <c r="B14" s="5" t="s">
        <v>9</v>
      </c>
      <c r="C14" s="4">
        <v>2</v>
      </c>
      <c r="D14" s="6" t="s">
        <v>10</v>
      </c>
      <c r="E14" s="7" t="s">
        <v>11</v>
      </c>
      <c r="F14" s="4" t="s">
        <v>12</v>
      </c>
      <c r="G14" s="5" t="s">
        <v>13</v>
      </c>
      <c r="H14" s="4" t="s">
        <v>27</v>
      </c>
    </row>
    <row r="15" spans="1:8">
      <c r="A15" s="4" t="s">
        <v>8</v>
      </c>
      <c r="B15" s="5" t="s">
        <v>9</v>
      </c>
      <c r="C15" s="4">
        <v>1</v>
      </c>
      <c r="D15" s="6" t="s">
        <v>15</v>
      </c>
      <c r="E15" s="7" t="s">
        <v>16</v>
      </c>
      <c r="F15" s="4" t="s">
        <v>17</v>
      </c>
      <c r="G15" s="5" t="s">
        <v>13</v>
      </c>
      <c r="H15" s="4" t="s">
        <v>27</v>
      </c>
    </row>
    <row r="16" spans="1:8">
      <c r="A16" s="4" t="s">
        <v>8</v>
      </c>
      <c r="B16" s="5" t="s">
        <v>9</v>
      </c>
      <c r="C16" s="4">
        <v>2</v>
      </c>
      <c r="D16" s="6" t="s">
        <v>10</v>
      </c>
      <c r="E16" s="7" t="s">
        <v>28</v>
      </c>
      <c r="F16" s="4" t="s">
        <v>29</v>
      </c>
      <c r="G16" s="5" t="s">
        <v>13</v>
      </c>
      <c r="H16" s="4" t="s">
        <v>27</v>
      </c>
    </row>
    <row r="17" spans="1:8">
      <c r="A17" s="4" t="s">
        <v>8</v>
      </c>
      <c r="B17" s="5" t="s">
        <v>9</v>
      </c>
      <c r="C17" s="4">
        <v>2</v>
      </c>
      <c r="D17" s="6" t="s">
        <v>10</v>
      </c>
      <c r="E17" s="7" t="s">
        <v>11</v>
      </c>
      <c r="F17" s="4" t="s">
        <v>12</v>
      </c>
      <c r="G17" s="4" t="s">
        <v>30</v>
      </c>
      <c r="H17" s="4" t="s">
        <v>14</v>
      </c>
    </row>
    <row r="18" spans="1:8">
      <c r="A18" s="4" t="s">
        <v>8</v>
      </c>
      <c r="B18" s="5" t="s">
        <v>9</v>
      </c>
      <c r="C18" s="4">
        <v>1</v>
      </c>
      <c r="D18" s="6" t="s">
        <v>15</v>
      </c>
      <c r="E18" s="7" t="s">
        <v>16</v>
      </c>
      <c r="F18" s="4" t="s">
        <v>17</v>
      </c>
      <c r="G18" s="4" t="s">
        <v>30</v>
      </c>
      <c r="H18" s="4" t="s">
        <v>14</v>
      </c>
    </row>
    <row r="19" spans="1:8">
      <c r="A19" s="4" t="s">
        <v>8</v>
      </c>
      <c r="B19" s="5" t="s">
        <v>9</v>
      </c>
      <c r="C19" s="5">
        <v>1</v>
      </c>
      <c r="D19" s="6" t="s">
        <v>15</v>
      </c>
      <c r="E19" s="7" t="s">
        <v>16</v>
      </c>
      <c r="F19" s="4" t="s">
        <v>17</v>
      </c>
      <c r="G19" s="4" t="s">
        <v>30</v>
      </c>
      <c r="H19" s="4" t="s">
        <v>14</v>
      </c>
    </row>
    <row r="20" spans="1:8">
      <c r="A20" s="4" t="s">
        <v>8</v>
      </c>
      <c r="B20" s="5" t="s">
        <v>9</v>
      </c>
      <c r="C20" s="4">
        <v>2</v>
      </c>
      <c r="D20" s="6" t="s">
        <v>10</v>
      </c>
      <c r="E20" s="7" t="s">
        <v>11</v>
      </c>
      <c r="F20" s="4" t="s">
        <v>12</v>
      </c>
      <c r="G20" s="4" t="s">
        <v>30</v>
      </c>
      <c r="H20" s="4" t="s">
        <v>18</v>
      </c>
    </row>
    <row r="21" spans="1:8" ht="15.75" customHeight="1">
      <c r="A21" s="4" t="s">
        <v>8</v>
      </c>
      <c r="B21" s="5" t="s">
        <v>9</v>
      </c>
      <c r="C21" s="4">
        <v>1</v>
      </c>
      <c r="D21" s="6" t="s">
        <v>15</v>
      </c>
      <c r="E21" s="7" t="s">
        <v>16</v>
      </c>
      <c r="F21" s="4" t="s">
        <v>17</v>
      </c>
      <c r="G21" s="4" t="s">
        <v>30</v>
      </c>
      <c r="H21" s="4" t="s">
        <v>18</v>
      </c>
    </row>
    <row r="22" spans="1:8" ht="15.75" customHeight="1">
      <c r="A22" s="4" t="s">
        <v>8</v>
      </c>
      <c r="B22" s="5" t="s">
        <v>9</v>
      </c>
      <c r="C22" s="4">
        <v>1</v>
      </c>
      <c r="D22" s="6" t="s">
        <v>15</v>
      </c>
      <c r="E22" s="7" t="s">
        <v>16</v>
      </c>
      <c r="F22" s="4" t="s">
        <v>17</v>
      </c>
      <c r="G22" s="4" t="s">
        <v>30</v>
      </c>
      <c r="H22" s="4" t="s">
        <v>18</v>
      </c>
    </row>
    <row r="23" spans="1:8" ht="15.75" customHeight="1">
      <c r="A23" s="4" t="s">
        <v>8</v>
      </c>
      <c r="B23" s="5" t="s">
        <v>9</v>
      </c>
      <c r="C23" s="4">
        <v>4</v>
      </c>
      <c r="D23" s="6" t="s">
        <v>19</v>
      </c>
      <c r="E23" s="7" t="s">
        <v>20</v>
      </c>
      <c r="F23" s="4" t="s">
        <v>21</v>
      </c>
      <c r="G23" s="4" t="s">
        <v>30</v>
      </c>
      <c r="H23" s="4" t="s">
        <v>18</v>
      </c>
    </row>
    <row r="24" spans="1:8" ht="15.75" customHeight="1">
      <c r="A24" s="4" t="s">
        <v>8</v>
      </c>
      <c r="B24" s="5" t="s">
        <v>9</v>
      </c>
      <c r="C24" s="4">
        <v>1</v>
      </c>
      <c r="D24" s="6" t="s">
        <v>22</v>
      </c>
      <c r="E24" s="7" t="s">
        <v>23</v>
      </c>
      <c r="F24" s="4" t="s">
        <v>24</v>
      </c>
      <c r="G24" s="4" t="s">
        <v>30</v>
      </c>
      <c r="H24" s="4" t="s">
        <v>18</v>
      </c>
    </row>
    <row r="25" spans="1:8" ht="15.75" customHeight="1">
      <c r="A25" s="4" t="s">
        <v>8</v>
      </c>
      <c r="B25" s="5" t="s">
        <v>9</v>
      </c>
      <c r="C25" s="4">
        <v>1</v>
      </c>
      <c r="D25" s="6" t="s">
        <v>15</v>
      </c>
      <c r="E25" s="7" t="s">
        <v>16</v>
      </c>
      <c r="F25" s="4" t="s">
        <v>17</v>
      </c>
      <c r="G25" s="4" t="s">
        <v>30</v>
      </c>
      <c r="H25" s="4" t="s">
        <v>18</v>
      </c>
    </row>
    <row r="26" spans="1:8" ht="15.75" customHeight="1">
      <c r="A26" s="4" t="s">
        <v>8</v>
      </c>
      <c r="B26" s="5" t="s">
        <v>9</v>
      </c>
      <c r="C26" s="4">
        <v>1</v>
      </c>
      <c r="D26" s="6" t="s">
        <v>15</v>
      </c>
      <c r="E26" s="7" t="s">
        <v>16</v>
      </c>
      <c r="F26" s="4" t="s">
        <v>17</v>
      </c>
      <c r="G26" s="4" t="s">
        <v>30</v>
      </c>
      <c r="H26" s="4" t="s">
        <v>18</v>
      </c>
    </row>
    <row r="27" spans="1:8" ht="15.75" customHeight="1">
      <c r="A27" s="4" t="s">
        <v>8</v>
      </c>
      <c r="B27" s="5" t="s">
        <v>9</v>
      </c>
      <c r="C27" s="4">
        <v>1</v>
      </c>
      <c r="D27" s="6" t="s">
        <v>15</v>
      </c>
      <c r="E27" s="7" t="s">
        <v>16</v>
      </c>
      <c r="F27" s="4" t="s">
        <v>17</v>
      </c>
      <c r="G27" s="4" t="s">
        <v>30</v>
      </c>
      <c r="H27" s="4" t="s">
        <v>18</v>
      </c>
    </row>
    <row r="28" spans="1:8" ht="15.75" customHeight="1">
      <c r="A28" s="4" t="s">
        <v>8</v>
      </c>
      <c r="B28" s="5" t="s">
        <v>9</v>
      </c>
      <c r="C28" s="4">
        <v>1</v>
      </c>
      <c r="D28" s="6" t="s">
        <v>15</v>
      </c>
      <c r="E28" s="7" t="s">
        <v>16</v>
      </c>
      <c r="F28" s="4" t="s">
        <v>17</v>
      </c>
      <c r="G28" s="4" t="s">
        <v>30</v>
      </c>
      <c r="H28" s="4" t="s">
        <v>18</v>
      </c>
    </row>
    <row r="29" spans="1:8" ht="15.75" customHeight="1">
      <c r="A29" s="4" t="s">
        <v>8</v>
      </c>
      <c r="B29" s="5" t="s">
        <v>9</v>
      </c>
      <c r="C29" s="4">
        <v>1</v>
      </c>
      <c r="D29" s="6" t="s">
        <v>15</v>
      </c>
      <c r="E29" s="7" t="s">
        <v>16</v>
      </c>
      <c r="F29" s="4" t="s">
        <v>17</v>
      </c>
      <c r="G29" s="4" t="s">
        <v>30</v>
      </c>
      <c r="H29" s="4" t="s">
        <v>18</v>
      </c>
    </row>
    <row r="30" spans="1:8" ht="15.75" customHeight="1">
      <c r="A30" s="4" t="s">
        <v>8</v>
      </c>
      <c r="B30" s="5" t="s">
        <v>9</v>
      </c>
      <c r="C30" s="4">
        <v>1</v>
      </c>
      <c r="D30" s="6" t="s">
        <v>15</v>
      </c>
      <c r="E30" s="7" t="s">
        <v>16</v>
      </c>
      <c r="F30" s="4" t="s">
        <v>17</v>
      </c>
      <c r="G30" s="4" t="s">
        <v>30</v>
      </c>
      <c r="H30" s="4" t="s">
        <v>18</v>
      </c>
    </row>
    <row r="31" spans="1:8" ht="15.75" customHeight="1">
      <c r="A31" s="4" t="s">
        <v>8</v>
      </c>
      <c r="B31" s="5" t="s">
        <v>9</v>
      </c>
      <c r="C31" s="4">
        <v>1</v>
      </c>
      <c r="D31" s="6" t="s">
        <v>15</v>
      </c>
      <c r="E31" s="7" t="s">
        <v>16</v>
      </c>
      <c r="F31" s="4" t="s">
        <v>17</v>
      </c>
      <c r="G31" s="4" t="s">
        <v>30</v>
      </c>
      <c r="H31" s="4" t="s">
        <v>18</v>
      </c>
    </row>
    <row r="32" spans="1:8" ht="15.75" customHeight="1">
      <c r="A32" s="4" t="s">
        <v>8</v>
      </c>
      <c r="B32" s="5" t="s">
        <v>9</v>
      </c>
      <c r="C32" s="4">
        <v>1</v>
      </c>
      <c r="D32" s="6" t="s">
        <v>15</v>
      </c>
      <c r="E32" s="7" t="s">
        <v>16</v>
      </c>
      <c r="F32" s="4" t="s">
        <v>17</v>
      </c>
      <c r="G32" s="4" t="s">
        <v>30</v>
      </c>
      <c r="H32" s="4" t="s">
        <v>18</v>
      </c>
    </row>
    <row r="33" spans="1:19" ht="15.75" customHeight="1">
      <c r="A33" s="4" t="s">
        <v>8</v>
      </c>
      <c r="B33" s="5" t="s">
        <v>9</v>
      </c>
      <c r="C33" s="4">
        <v>1</v>
      </c>
      <c r="D33" s="6" t="s">
        <v>15</v>
      </c>
      <c r="E33" s="7" t="s">
        <v>16</v>
      </c>
      <c r="F33" s="4" t="s">
        <v>17</v>
      </c>
      <c r="G33" s="4" t="s">
        <v>30</v>
      </c>
      <c r="H33" s="4" t="s">
        <v>18</v>
      </c>
      <c r="M33" s="5"/>
      <c r="N33" s="5"/>
      <c r="O33" s="5"/>
      <c r="P33" s="5"/>
      <c r="Q33" s="5"/>
      <c r="R33" s="5"/>
      <c r="S33" s="5"/>
    </row>
    <row r="34" spans="1:19" ht="15.75" customHeight="1">
      <c r="A34" s="4" t="s">
        <v>8</v>
      </c>
      <c r="B34" s="5" t="s">
        <v>9</v>
      </c>
      <c r="C34" s="4">
        <v>1</v>
      </c>
      <c r="D34" s="6" t="s">
        <v>15</v>
      </c>
      <c r="E34" s="7" t="s">
        <v>16</v>
      </c>
      <c r="F34" s="4" t="s">
        <v>17</v>
      </c>
      <c r="G34" s="4" t="s">
        <v>30</v>
      </c>
      <c r="H34" s="4" t="s">
        <v>18</v>
      </c>
      <c r="K34" s="5"/>
      <c r="M34" s="5"/>
      <c r="N34" s="5"/>
      <c r="O34" s="5"/>
      <c r="P34" s="5"/>
      <c r="Q34" s="5"/>
      <c r="R34" s="5"/>
      <c r="S34" s="5"/>
    </row>
    <row r="35" spans="1:19" ht="15.75" customHeight="1">
      <c r="A35" s="4" t="s">
        <v>8</v>
      </c>
      <c r="B35" s="5" t="s">
        <v>9</v>
      </c>
      <c r="C35" s="4">
        <v>2</v>
      </c>
      <c r="D35" s="6" t="s">
        <v>10</v>
      </c>
      <c r="E35" s="7" t="s">
        <v>11</v>
      </c>
      <c r="F35" s="4" t="s">
        <v>12</v>
      </c>
      <c r="G35" s="4" t="s">
        <v>30</v>
      </c>
      <c r="H35" s="4" t="s">
        <v>18</v>
      </c>
      <c r="M35" s="5"/>
      <c r="N35" s="5"/>
      <c r="O35" s="5"/>
      <c r="P35" s="5"/>
      <c r="Q35" s="5"/>
      <c r="R35" s="5"/>
      <c r="S35" s="5"/>
    </row>
    <row r="36" spans="1:19" ht="15.75" customHeight="1">
      <c r="A36" s="4" t="s">
        <v>8</v>
      </c>
      <c r="B36" s="5" t="s">
        <v>9</v>
      </c>
      <c r="C36" s="4">
        <v>1</v>
      </c>
      <c r="D36" s="6" t="s">
        <v>15</v>
      </c>
      <c r="E36" s="7" t="s">
        <v>16</v>
      </c>
      <c r="F36" s="4" t="s">
        <v>17</v>
      </c>
      <c r="G36" s="4" t="s">
        <v>30</v>
      </c>
      <c r="H36" s="4" t="s">
        <v>18</v>
      </c>
      <c r="M36" s="5"/>
      <c r="N36" s="5"/>
      <c r="O36" s="5"/>
      <c r="P36" s="5"/>
      <c r="Q36" s="5"/>
      <c r="R36" s="5"/>
      <c r="S36" s="5"/>
    </row>
    <row r="37" spans="1:19" ht="15.75" customHeight="1">
      <c r="A37" s="4" t="s">
        <v>8</v>
      </c>
      <c r="B37" s="5" t="s">
        <v>9</v>
      </c>
      <c r="C37" s="4">
        <v>1</v>
      </c>
      <c r="D37" s="6" t="s">
        <v>15</v>
      </c>
      <c r="E37" s="7" t="s">
        <v>16</v>
      </c>
      <c r="F37" s="4" t="s">
        <v>17</v>
      </c>
      <c r="G37" s="4" t="s">
        <v>30</v>
      </c>
      <c r="H37" s="4" t="s">
        <v>18</v>
      </c>
      <c r="M37" s="5"/>
      <c r="N37" s="5"/>
      <c r="O37" s="5"/>
      <c r="P37" s="5"/>
      <c r="Q37" s="5"/>
      <c r="R37" s="5"/>
      <c r="S37" s="5"/>
    </row>
    <row r="38" spans="1:19" ht="15.75" customHeight="1">
      <c r="A38" s="4" t="s">
        <v>8</v>
      </c>
      <c r="B38" s="5" t="s">
        <v>9</v>
      </c>
      <c r="C38" s="4">
        <v>1</v>
      </c>
      <c r="D38" s="6" t="s">
        <v>15</v>
      </c>
      <c r="E38" s="7" t="s">
        <v>16</v>
      </c>
      <c r="F38" s="4" t="s">
        <v>17</v>
      </c>
      <c r="G38" s="4" t="s">
        <v>30</v>
      </c>
      <c r="H38" s="4" t="s">
        <v>18</v>
      </c>
      <c r="M38" s="5"/>
      <c r="N38" s="5"/>
      <c r="O38" s="5"/>
      <c r="P38" s="5"/>
      <c r="Q38" s="5"/>
      <c r="R38" s="5"/>
      <c r="S38" s="5"/>
    </row>
    <row r="39" spans="1:19" ht="15.75" customHeight="1">
      <c r="A39" s="4" t="s">
        <v>8</v>
      </c>
      <c r="B39" s="5" t="s">
        <v>9</v>
      </c>
      <c r="C39" s="4">
        <v>2</v>
      </c>
      <c r="D39" s="6" t="s">
        <v>10</v>
      </c>
      <c r="E39" s="7" t="s">
        <v>11</v>
      </c>
      <c r="F39" s="4" t="s">
        <v>12</v>
      </c>
      <c r="G39" s="4" t="s">
        <v>30</v>
      </c>
      <c r="H39" s="4" t="s">
        <v>25</v>
      </c>
      <c r="M39" s="5"/>
      <c r="N39" s="5"/>
      <c r="O39" s="5"/>
      <c r="P39" s="5"/>
      <c r="Q39" s="5"/>
      <c r="R39" s="5"/>
      <c r="S39" s="5"/>
    </row>
    <row r="40" spans="1:19" ht="15.75" customHeight="1">
      <c r="A40" s="4" t="s">
        <v>8</v>
      </c>
      <c r="B40" s="5" t="s">
        <v>9</v>
      </c>
      <c r="C40" s="4">
        <v>1</v>
      </c>
      <c r="D40" s="6" t="s">
        <v>15</v>
      </c>
      <c r="E40" s="7" t="s">
        <v>16</v>
      </c>
      <c r="F40" s="4" t="s">
        <v>17</v>
      </c>
      <c r="G40" s="4" t="s">
        <v>30</v>
      </c>
      <c r="H40" s="4" t="s">
        <v>25</v>
      </c>
      <c r="M40" s="5"/>
      <c r="N40" s="5"/>
      <c r="O40" s="5"/>
      <c r="P40" s="5"/>
      <c r="Q40" s="5"/>
      <c r="R40" s="5"/>
      <c r="S40" s="5"/>
    </row>
    <row r="41" spans="1:19" ht="15.75" customHeight="1">
      <c r="A41" s="4" t="s">
        <v>8</v>
      </c>
      <c r="B41" s="5" t="s">
        <v>9</v>
      </c>
      <c r="C41" s="4">
        <v>1</v>
      </c>
      <c r="D41" s="6" t="s">
        <v>15</v>
      </c>
      <c r="E41" s="7" t="s">
        <v>16</v>
      </c>
      <c r="F41" s="4" t="s">
        <v>17</v>
      </c>
      <c r="G41" s="4" t="s">
        <v>30</v>
      </c>
      <c r="H41" s="4" t="s">
        <v>25</v>
      </c>
      <c r="M41" s="5"/>
      <c r="N41" s="5"/>
      <c r="O41" s="5"/>
      <c r="P41" s="5"/>
      <c r="Q41" s="5"/>
      <c r="R41" s="5"/>
      <c r="S41" s="5"/>
    </row>
    <row r="42" spans="1:19" ht="15.75" customHeight="1">
      <c r="A42" s="4" t="s">
        <v>8</v>
      </c>
      <c r="B42" s="5" t="s">
        <v>9</v>
      </c>
      <c r="C42" s="4">
        <v>2</v>
      </c>
      <c r="D42" s="6" t="s">
        <v>10</v>
      </c>
      <c r="E42" s="7" t="s">
        <v>11</v>
      </c>
      <c r="F42" s="4" t="s">
        <v>12</v>
      </c>
      <c r="G42" s="4" t="s">
        <v>30</v>
      </c>
      <c r="H42" s="4" t="s">
        <v>26</v>
      </c>
      <c r="M42" s="5"/>
      <c r="N42" s="5"/>
      <c r="O42" s="5"/>
      <c r="P42" s="5"/>
      <c r="Q42" s="5"/>
      <c r="R42" s="5"/>
      <c r="S42" s="5"/>
    </row>
    <row r="43" spans="1:19" ht="15.75" customHeight="1">
      <c r="A43" s="4" t="s">
        <v>8</v>
      </c>
      <c r="B43" s="5" t="s">
        <v>9</v>
      </c>
      <c r="C43" s="4">
        <v>1</v>
      </c>
      <c r="D43" s="6" t="s">
        <v>15</v>
      </c>
      <c r="E43" s="7" t="s">
        <v>16</v>
      </c>
      <c r="F43" s="4" t="s">
        <v>17</v>
      </c>
      <c r="G43" s="4" t="s">
        <v>30</v>
      </c>
      <c r="H43" s="4" t="s">
        <v>26</v>
      </c>
      <c r="M43" s="5"/>
      <c r="N43" s="5"/>
      <c r="O43" s="5"/>
      <c r="P43" s="5"/>
      <c r="Q43" s="5"/>
      <c r="R43" s="5"/>
      <c r="S43" s="5"/>
    </row>
    <row r="44" spans="1:19" ht="15.75" customHeight="1">
      <c r="A44" s="4" t="s">
        <v>8</v>
      </c>
      <c r="B44" s="5" t="s">
        <v>9</v>
      </c>
      <c r="C44" s="4">
        <v>1</v>
      </c>
      <c r="D44" s="6" t="s">
        <v>15</v>
      </c>
      <c r="E44" s="7" t="s">
        <v>16</v>
      </c>
      <c r="F44" s="4" t="s">
        <v>17</v>
      </c>
      <c r="G44" s="4" t="s">
        <v>30</v>
      </c>
      <c r="H44" s="4" t="s">
        <v>26</v>
      </c>
      <c r="M44" s="5"/>
      <c r="N44" s="5"/>
      <c r="O44" s="5"/>
      <c r="P44" s="5"/>
      <c r="Q44" s="5"/>
      <c r="R44" s="5"/>
      <c r="S44" s="5"/>
    </row>
    <row r="45" spans="1:19" ht="15.75" customHeight="1">
      <c r="A45" s="4" t="s">
        <v>8</v>
      </c>
      <c r="B45" s="5" t="s">
        <v>9</v>
      </c>
      <c r="C45" s="4">
        <v>4</v>
      </c>
      <c r="D45" s="6" t="s">
        <v>19</v>
      </c>
      <c r="E45" s="7" t="s">
        <v>20</v>
      </c>
      <c r="F45" s="4" t="s">
        <v>21</v>
      </c>
      <c r="G45" s="4" t="s">
        <v>30</v>
      </c>
      <c r="H45" s="4" t="s">
        <v>26</v>
      </c>
      <c r="M45" s="5"/>
      <c r="N45" s="5"/>
      <c r="O45" s="5"/>
      <c r="P45" s="5"/>
      <c r="Q45" s="5"/>
      <c r="R45" s="5"/>
      <c r="S45" s="5"/>
    </row>
    <row r="46" spans="1:19" ht="15.75" customHeight="1">
      <c r="A46" s="4" t="s">
        <v>8</v>
      </c>
      <c r="B46" s="5" t="s">
        <v>9</v>
      </c>
      <c r="C46" s="4">
        <v>1</v>
      </c>
      <c r="D46" s="6" t="s">
        <v>15</v>
      </c>
      <c r="E46" s="7" t="s">
        <v>16</v>
      </c>
      <c r="F46" s="4" t="s">
        <v>17</v>
      </c>
      <c r="G46" s="4" t="s">
        <v>30</v>
      </c>
      <c r="H46" s="4" t="s">
        <v>26</v>
      </c>
    </row>
    <row r="47" spans="1:19" ht="15.75" customHeight="1">
      <c r="A47" s="4" t="s">
        <v>8</v>
      </c>
      <c r="B47" s="5" t="s">
        <v>9</v>
      </c>
      <c r="C47" s="4">
        <v>4</v>
      </c>
      <c r="D47" s="6" t="s">
        <v>19</v>
      </c>
      <c r="E47" s="7" t="s">
        <v>20</v>
      </c>
      <c r="F47" s="4" t="s">
        <v>21</v>
      </c>
      <c r="G47" s="4" t="s">
        <v>30</v>
      </c>
      <c r="H47" s="4" t="s">
        <v>26</v>
      </c>
    </row>
    <row r="48" spans="1:19" ht="15.75" customHeight="1">
      <c r="A48" s="4" t="s">
        <v>8</v>
      </c>
      <c r="B48" s="5" t="s">
        <v>9</v>
      </c>
      <c r="C48" s="4">
        <v>1</v>
      </c>
      <c r="D48" s="6" t="s">
        <v>22</v>
      </c>
      <c r="E48" s="7" t="s">
        <v>23</v>
      </c>
      <c r="F48" s="4" t="s">
        <v>24</v>
      </c>
      <c r="G48" s="4" t="s">
        <v>30</v>
      </c>
      <c r="H48" s="4" t="s">
        <v>26</v>
      </c>
    </row>
    <row r="49" spans="1:8" ht="15.75" customHeight="1">
      <c r="A49" s="4" t="s">
        <v>8</v>
      </c>
      <c r="B49" s="5" t="s">
        <v>9</v>
      </c>
      <c r="C49" s="4">
        <v>4</v>
      </c>
      <c r="D49" s="6" t="s">
        <v>19</v>
      </c>
      <c r="E49" s="7" t="s">
        <v>20</v>
      </c>
      <c r="F49" s="4" t="s">
        <v>21</v>
      </c>
      <c r="G49" s="4" t="s">
        <v>30</v>
      </c>
      <c r="H49" s="4" t="s">
        <v>26</v>
      </c>
    </row>
    <row r="50" spans="1:8" ht="15.75" customHeight="1">
      <c r="A50" s="4" t="s">
        <v>8</v>
      </c>
      <c r="B50" s="5" t="s">
        <v>9</v>
      </c>
      <c r="C50" s="4">
        <v>1</v>
      </c>
      <c r="D50" s="6" t="s">
        <v>22</v>
      </c>
      <c r="E50" s="7" t="s">
        <v>23</v>
      </c>
      <c r="F50" s="4" t="s">
        <v>24</v>
      </c>
      <c r="G50" s="4" t="s">
        <v>30</v>
      </c>
      <c r="H50" s="4" t="s">
        <v>26</v>
      </c>
    </row>
    <row r="51" spans="1:8" ht="15.75" customHeight="1">
      <c r="A51" s="4" t="s">
        <v>8</v>
      </c>
      <c r="B51" s="5" t="s">
        <v>9</v>
      </c>
      <c r="C51" s="4">
        <v>4</v>
      </c>
      <c r="D51" s="6" t="s">
        <v>19</v>
      </c>
      <c r="E51" s="7" t="s">
        <v>20</v>
      </c>
      <c r="F51" s="4" t="s">
        <v>21</v>
      </c>
      <c r="G51" s="4" t="s">
        <v>30</v>
      </c>
      <c r="H51" s="4" t="s">
        <v>26</v>
      </c>
    </row>
    <row r="52" spans="1:8" ht="15.75" customHeight="1">
      <c r="A52" s="4" t="s">
        <v>8</v>
      </c>
      <c r="B52" s="5" t="s">
        <v>9</v>
      </c>
      <c r="C52" s="4">
        <v>1</v>
      </c>
      <c r="D52" s="6" t="s">
        <v>22</v>
      </c>
      <c r="E52" s="7" t="s">
        <v>23</v>
      </c>
      <c r="F52" s="4" t="s">
        <v>24</v>
      </c>
      <c r="G52" s="4" t="s">
        <v>30</v>
      </c>
      <c r="H52" s="4" t="s">
        <v>26</v>
      </c>
    </row>
    <row r="53" spans="1:8" ht="15.75" customHeight="1">
      <c r="A53" s="4" t="s">
        <v>8</v>
      </c>
      <c r="B53" s="5" t="s">
        <v>9</v>
      </c>
      <c r="C53" s="4">
        <v>4</v>
      </c>
      <c r="D53" s="6" t="s">
        <v>19</v>
      </c>
      <c r="E53" s="7" t="s">
        <v>20</v>
      </c>
      <c r="F53" s="4" t="s">
        <v>21</v>
      </c>
      <c r="G53" s="4" t="s">
        <v>30</v>
      </c>
      <c r="H53" s="4" t="s">
        <v>26</v>
      </c>
    </row>
    <row r="54" spans="1:8" ht="15.75" customHeight="1">
      <c r="A54" s="4" t="s">
        <v>8</v>
      </c>
      <c r="B54" s="5" t="s">
        <v>9</v>
      </c>
      <c r="C54" s="4">
        <v>1</v>
      </c>
      <c r="D54" s="6" t="s">
        <v>22</v>
      </c>
      <c r="E54" s="7" t="s">
        <v>23</v>
      </c>
      <c r="F54" s="4" t="s">
        <v>24</v>
      </c>
      <c r="G54" s="4" t="s">
        <v>30</v>
      </c>
      <c r="H54" s="4" t="s">
        <v>26</v>
      </c>
    </row>
    <row r="55" spans="1:8" ht="15.75" customHeight="1">
      <c r="A55" s="4" t="s">
        <v>8</v>
      </c>
      <c r="B55" s="5" t="s">
        <v>9</v>
      </c>
      <c r="C55" s="4">
        <v>4</v>
      </c>
      <c r="D55" s="6" t="s">
        <v>19</v>
      </c>
      <c r="E55" s="7" t="s">
        <v>20</v>
      </c>
      <c r="F55" s="4" t="s">
        <v>21</v>
      </c>
      <c r="G55" s="4" t="s">
        <v>30</v>
      </c>
      <c r="H55" s="4" t="s">
        <v>26</v>
      </c>
    </row>
    <row r="56" spans="1:8" ht="15.75" customHeight="1">
      <c r="A56" s="4" t="s">
        <v>8</v>
      </c>
      <c r="B56" s="5" t="s">
        <v>9</v>
      </c>
      <c r="C56" s="4">
        <v>1</v>
      </c>
      <c r="D56" s="6" t="s">
        <v>22</v>
      </c>
      <c r="E56" s="7" t="s">
        <v>23</v>
      </c>
      <c r="F56" s="4" t="s">
        <v>24</v>
      </c>
      <c r="G56" s="4" t="s">
        <v>30</v>
      </c>
      <c r="H56" s="4" t="s">
        <v>26</v>
      </c>
    </row>
    <row r="57" spans="1:8" ht="15.75" customHeight="1">
      <c r="A57" s="4" t="s">
        <v>8</v>
      </c>
      <c r="B57" s="5" t="s">
        <v>9</v>
      </c>
      <c r="C57" s="4">
        <v>1</v>
      </c>
      <c r="D57" s="6" t="s">
        <v>15</v>
      </c>
      <c r="E57" s="7" t="s">
        <v>16</v>
      </c>
      <c r="F57" s="4" t="s">
        <v>17</v>
      </c>
      <c r="G57" s="4" t="s">
        <v>30</v>
      </c>
      <c r="H57" s="4" t="s">
        <v>26</v>
      </c>
    </row>
    <row r="58" spans="1:8" ht="15.75" customHeight="1">
      <c r="A58" s="4" t="s">
        <v>8</v>
      </c>
      <c r="B58" s="5" t="s">
        <v>9</v>
      </c>
      <c r="C58" s="4">
        <v>4</v>
      </c>
      <c r="D58" s="6" t="s">
        <v>19</v>
      </c>
      <c r="E58" s="7" t="s">
        <v>20</v>
      </c>
      <c r="F58" s="4" t="s">
        <v>21</v>
      </c>
      <c r="G58" s="4" t="s">
        <v>30</v>
      </c>
      <c r="H58" s="4" t="s">
        <v>26</v>
      </c>
    </row>
    <row r="59" spans="1:8" ht="15.75" customHeight="1">
      <c r="A59" s="4" t="s">
        <v>8</v>
      </c>
      <c r="B59" s="5" t="s">
        <v>9</v>
      </c>
      <c r="C59" s="4">
        <v>1</v>
      </c>
      <c r="D59" s="6" t="s">
        <v>22</v>
      </c>
      <c r="E59" s="7" t="s">
        <v>23</v>
      </c>
      <c r="F59" s="4" t="s">
        <v>24</v>
      </c>
      <c r="G59" s="4" t="s">
        <v>30</v>
      </c>
      <c r="H59" s="4" t="s">
        <v>26</v>
      </c>
    </row>
    <row r="60" spans="1:8" ht="15.75" customHeight="1">
      <c r="A60" s="4" t="s">
        <v>8</v>
      </c>
      <c r="B60" s="5" t="s">
        <v>9</v>
      </c>
      <c r="C60" s="4">
        <v>4</v>
      </c>
      <c r="D60" s="6" t="s">
        <v>19</v>
      </c>
      <c r="E60" s="7" t="s">
        <v>20</v>
      </c>
      <c r="F60" s="4" t="s">
        <v>21</v>
      </c>
      <c r="G60" s="4" t="s">
        <v>30</v>
      </c>
      <c r="H60" s="4" t="s">
        <v>26</v>
      </c>
    </row>
    <row r="61" spans="1:8" ht="15.75" customHeight="1">
      <c r="A61" s="4" t="s">
        <v>8</v>
      </c>
      <c r="B61" s="5" t="s">
        <v>9</v>
      </c>
      <c r="C61" s="4">
        <v>1</v>
      </c>
      <c r="D61" s="6" t="s">
        <v>22</v>
      </c>
      <c r="E61" s="7" t="s">
        <v>23</v>
      </c>
      <c r="F61" s="4" t="s">
        <v>24</v>
      </c>
      <c r="G61" s="4" t="s">
        <v>30</v>
      </c>
      <c r="H61" s="4" t="s">
        <v>26</v>
      </c>
    </row>
    <row r="62" spans="1:8" ht="15.75" customHeight="1">
      <c r="A62" s="4" t="s">
        <v>8</v>
      </c>
      <c r="B62" s="5" t="s">
        <v>9</v>
      </c>
      <c r="C62" s="4">
        <v>4</v>
      </c>
      <c r="D62" s="6" t="s">
        <v>19</v>
      </c>
      <c r="E62" s="7" t="s">
        <v>20</v>
      </c>
      <c r="F62" s="4" t="s">
        <v>21</v>
      </c>
      <c r="G62" s="4" t="s">
        <v>30</v>
      </c>
      <c r="H62" s="4" t="s">
        <v>26</v>
      </c>
    </row>
    <row r="63" spans="1:8" ht="15.75" customHeight="1">
      <c r="A63" s="4" t="s">
        <v>8</v>
      </c>
      <c r="B63" s="5" t="s">
        <v>9</v>
      </c>
      <c r="C63" s="4">
        <v>1</v>
      </c>
      <c r="D63" s="6" t="s">
        <v>22</v>
      </c>
      <c r="E63" s="7" t="s">
        <v>23</v>
      </c>
      <c r="F63" s="4" t="s">
        <v>24</v>
      </c>
      <c r="G63" s="4" t="s">
        <v>30</v>
      </c>
      <c r="H63" s="4" t="s">
        <v>26</v>
      </c>
    </row>
    <row r="64" spans="1:8" ht="15.75" customHeight="1">
      <c r="A64" s="4" t="s">
        <v>8</v>
      </c>
      <c r="B64" s="5" t="s">
        <v>9</v>
      </c>
      <c r="C64" s="4">
        <v>4</v>
      </c>
      <c r="D64" s="6" t="s">
        <v>19</v>
      </c>
      <c r="E64" s="7" t="s">
        <v>20</v>
      </c>
      <c r="F64" s="4" t="s">
        <v>21</v>
      </c>
      <c r="G64" s="4" t="s">
        <v>30</v>
      </c>
      <c r="H64" s="4" t="s">
        <v>26</v>
      </c>
    </row>
    <row r="65" spans="1:8" ht="15.75" customHeight="1">
      <c r="A65" s="4" t="s">
        <v>8</v>
      </c>
      <c r="B65" s="5" t="s">
        <v>9</v>
      </c>
      <c r="C65" s="4">
        <v>1</v>
      </c>
      <c r="D65" s="6" t="s">
        <v>22</v>
      </c>
      <c r="E65" s="7" t="s">
        <v>23</v>
      </c>
      <c r="F65" s="4" t="s">
        <v>24</v>
      </c>
      <c r="G65" s="4" t="s">
        <v>30</v>
      </c>
      <c r="H65" s="4" t="s">
        <v>26</v>
      </c>
    </row>
    <row r="66" spans="1:8" ht="15.75" customHeight="1">
      <c r="A66" s="4" t="s">
        <v>8</v>
      </c>
      <c r="B66" s="5" t="s">
        <v>9</v>
      </c>
      <c r="C66" s="4">
        <v>4</v>
      </c>
      <c r="D66" s="6" t="s">
        <v>19</v>
      </c>
      <c r="E66" s="7" t="s">
        <v>20</v>
      </c>
      <c r="F66" s="4" t="s">
        <v>21</v>
      </c>
      <c r="G66" s="4" t="s">
        <v>30</v>
      </c>
      <c r="H66" s="4" t="s">
        <v>26</v>
      </c>
    </row>
    <row r="67" spans="1:8" ht="15.75" customHeight="1">
      <c r="A67" s="4" t="s">
        <v>8</v>
      </c>
      <c r="B67" s="5" t="s">
        <v>9</v>
      </c>
      <c r="C67" s="4">
        <v>1</v>
      </c>
      <c r="D67" s="6" t="s">
        <v>22</v>
      </c>
      <c r="E67" s="7" t="s">
        <v>23</v>
      </c>
      <c r="F67" s="4" t="s">
        <v>24</v>
      </c>
      <c r="G67" s="4" t="s">
        <v>30</v>
      </c>
      <c r="H67" s="4" t="s">
        <v>26</v>
      </c>
    </row>
    <row r="68" spans="1:8" ht="15.75" customHeight="1">
      <c r="A68" s="4" t="s">
        <v>8</v>
      </c>
      <c r="B68" s="5" t="s">
        <v>9</v>
      </c>
      <c r="C68" s="4">
        <v>1</v>
      </c>
      <c r="D68" s="6" t="s">
        <v>15</v>
      </c>
      <c r="E68" s="7" t="s">
        <v>16</v>
      </c>
      <c r="F68" s="4" t="s">
        <v>17</v>
      </c>
      <c r="G68" s="4" t="s">
        <v>30</v>
      </c>
      <c r="H68" s="4" t="s">
        <v>26</v>
      </c>
    </row>
    <row r="69" spans="1:8" ht="15.75" customHeight="1">
      <c r="A69" s="4" t="s">
        <v>8</v>
      </c>
      <c r="B69" s="5" t="s">
        <v>9</v>
      </c>
      <c r="C69" s="4">
        <v>2</v>
      </c>
      <c r="D69" s="6" t="s">
        <v>10</v>
      </c>
      <c r="E69" s="7" t="s">
        <v>11</v>
      </c>
      <c r="F69" s="4" t="s">
        <v>12</v>
      </c>
      <c r="G69" s="4" t="s">
        <v>30</v>
      </c>
      <c r="H69" s="4" t="s">
        <v>27</v>
      </c>
    </row>
    <row r="70" spans="1:8" ht="15.75" customHeight="1">
      <c r="A70" s="4" t="s">
        <v>8</v>
      </c>
      <c r="B70" s="5" t="s">
        <v>9</v>
      </c>
      <c r="C70" s="4">
        <v>1</v>
      </c>
      <c r="D70" s="6" t="s">
        <v>15</v>
      </c>
      <c r="E70" s="7" t="s">
        <v>16</v>
      </c>
      <c r="F70" s="4" t="s">
        <v>17</v>
      </c>
      <c r="G70" s="4" t="s">
        <v>30</v>
      </c>
      <c r="H70" s="4" t="s">
        <v>27</v>
      </c>
    </row>
    <row r="71" spans="1:8" ht="15.75" customHeight="1">
      <c r="A71" s="4" t="s">
        <v>8</v>
      </c>
      <c r="B71" s="5" t="s">
        <v>9</v>
      </c>
      <c r="C71" s="4">
        <v>1</v>
      </c>
      <c r="D71" s="6" t="s">
        <v>15</v>
      </c>
      <c r="E71" s="7" t="s">
        <v>16</v>
      </c>
      <c r="F71" s="4" t="s">
        <v>17</v>
      </c>
      <c r="G71" s="4" t="s">
        <v>30</v>
      </c>
      <c r="H71" s="4" t="s">
        <v>27</v>
      </c>
    </row>
    <row r="72" spans="1:8" ht="15.75" customHeight="1">
      <c r="A72" s="4" t="s">
        <v>8</v>
      </c>
      <c r="B72" s="5" t="s">
        <v>9</v>
      </c>
      <c r="C72" s="4">
        <v>2</v>
      </c>
      <c r="D72" s="6" t="s">
        <v>10</v>
      </c>
      <c r="E72" s="7" t="s">
        <v>28</v>
      </c>
      <c r="F72" s="4" t="s">
        <v>29</v>
      </c>
      <c r="G72" s="4" t="s">
        <v>30</v>
      </c>
      <c r="H72" s="4" t="s">
        <v>27</v>
      </c>
    </row>
    <row r="73" spans="1:8" ht="15.75" customHeight="1"/>
    <row r="74" spans="1:8" ht="15.75" customHeight="1"/>
    <row r="75" spans="1:8" ht="15.75" customHeight="1"/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72" xr:uid="{00000000-0009-0000-0000-000000000000}"/>
  <phoneticPr fontId="7" type="noConversion"/>
  <conditionalFormatting sqref="G2:G72">
    <cfRule type="containsText" dxfId="1" priority="1" operator="containsText" text="P2">
      <formula>NOT(ISERROR(SEARCH(("P2"),(G2))))</formula>
    </cfRule>
    <cfRule type="containsText" dxfId="0" priority="2" operator="containsText" text="P1">
      <formula>NOT(ISERROR(SEARCH(("P1"),(G2))))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42" workbookViewId="0">
      <selection activeCell="B71" sqref="B71"/>
    </sheetView>
  </sheetViews>
  <sheetFormatPr defaultColWidth="14.42578125" defaultRowHeight="15" customHeight="1"/>
  <cols>
    <col min="1" max="1" width="8.7109375" customWidth="1"/>
    <col min="2" max="2" width="50.5703125" customWidth="1"/>
    <col min="3" max="23" width="8.7109375" customWidth="1"/>
  </cols>
  <sheetData>
    <row r="1" spans="1:2">
      <c r="A1" s="8" t="s">
        <v>31</v>
      </c>
      <c r="B1" s="8" t="s">
        <v>32</v>
      </c>
    </row>
    <row r="2" spans="1:2">
      <c r="A2" s="9">
        <v>1</v>
      </c>
      <c r="B2" s="9" t="s">
        <v>33</v>
      </c>
    </row>
    <row r="3" spans="1:2">
      <c r="A3" s="10" t="s">
        <v>34</v>
      </c>
      <c r="B3" s="10" t="s">
        <v>35</v>
      </c>
    </row>
    <row r="4" spans="1:2">
      <c r="A4" s="5" t="s">
        <v>36</v>
      </c>
      <c r="B4" s="5" t="s">
        <v>37</v>
      </c>
    </row>
    <row r="5" spans="1:2">
      <c r="A5" s="10" t="s">
        <v>38</v>
      </c>
      <c r="B5" s="10" t="s">
        <v>39</v>
      </c>
    </row>
    <row r="6" spans="1:2">
      <c r="A6" s="5" t="s">
        <v>40</v>
      </c>
      <c r="B6" s="5" t="s">
        <v>41</v>
      </c>
    </row>
    <row r="7" spans="1:2">
      <c r="A7" s="5" t="s">
        <v>42</v>
      </c>
      <c r="B7" s="5" t="s">
        <v>43</v>
      </c>
    </row>
    <row r="8" spans="1:2">
      <c r="A8" s="5" t="s">
        <v>44</v>
      </c>
      <c r="B8" s="5" t="s">
        <v>45</v>
      </c>
    </row>
    <row r="9" spans="1:2">
      <c r="A9" s="5" t="s">
        <v>46</v>
      </c>
      <c r="B9" s="5" t="s">
        <v>47</v>
      </c>
    </row>
    <row r="10" spans="1:2">
      <c r="A10" s="5" t="s">
        <v>48</v>
      </c>
      <c r="B10" s="5" t="s">
        <v>49</v>
      </c>
    </row>
    <row r="11" spans="1:2">
      <c r="A11" s="5" t="s">
        <v>50</v>
      </c>
      <c r="B11" s="5" t="s">
        <v>51</v>
      </c>
    </row>
    <row r="12" spans="1:2">
      <c r="A12" s="5" t="s">
        <v>52</v>
      </c>
      <c r="B12" s="5" t="s">
        <v>53</v>
      </c>
    </row>
    <row r="13" spans="1:2">
      <c r="A13" s="5" t="s">
        <v>54</v>
      </c>
      <c r="B13" s="5" t="s">
        <v>55</v>
      </c>
    </row>
    <row r="14" spans="1:2">
      <c r="A14" s="5" t="s">
        <v>56</v>
      </c>
      <c r="B14" s="5" t="s">
        <v>57</v>
      </c>
    </row>
    <row r="15" spans="1:2">
      <c r="A15" s="10" t="s">
        <v>22</v>
      </c>
      <c r="B15" s="10" t="s">
        <v>58</v>
      </c>
    </row>
    <row r="16" spans="1:2">
      <c r="A16" s="5" t="s">
        <v>23</v>
      </c>
      <c r="B16" s="5" t="s">
        <v>59</v>
      </c>
    </row>
    <row r="17" spans="1:2">
      <c r="A17" s="5" t="s">
        <v>60</v>
      </c>
      <c r="B17" s="5" t="s">
        <v>61</v>
      </c>
    </row>
    <row r="18" spans="1:2">
      <c r="A18" s="5" t="s">
        <v>62</v>
      </c>
      <c r="B18" s="5" t="s">
        <v>63</v>
      </c>
    </row>
    <row r="19" spans="1:2">
      <c r="A19" s="5" t="s">
        <v>64</v>
      </c>
      <c r="B19" s="5" t="s">
        <v>65</v>
      </c>
    </row>
    <row r="20" spans="1:2">
      <c r="A20" s="5" t="s">
        <v>66</v>
      </c>
      <c r="B20" s="5" t="s">
        <v>67</v>
      </c>
    </row>
    <row r="21" spans="1:2" ht="15.75" customHeight="1">
      <c r="A21" s="5" t="s">
        <v>68</v>
      </c>
      <c r="B21" s="5" t="s">
        <v>69</v>
      </c>
    </row>
    <row r="22" spans="1:2" ht="15.75" customHeight="1">
      <c r="A22" s="10" t="s">
        <v>15</v>
      </c>
      <c r="B22" s="10" t="s">
        <v>70</v>
      </c>
    </row>
    <row r="23" spans="1:2" ht="15.75" customHeight="1">
      <c r="A23" s="5" t="s">
        <v>71</v>
      </c>
      <c r="B23" s="5" t="s">
        <v>72</v>
      </c>
    </row>
    <row r="24" spans="1:2" ht="15.75" customHeight="1">
      <c r="A24" s="5" t="s">
        <v>73</v>
      </c>
      <c r="B24" s="5" t="s">
        <v>74</v>
      </c>
    </row>
    <row r="25" spans="1:2" ht="15.75" customHeight="1">
      <c r="A25" s="5" t="s">
        <v>16</v>
      </c>
      <c r="B25" s="5" t="s">
        <v>75</v>
      </c>
    </row>
    <row r="26" spans="1:2" ht="15.75" customHeight="1">
      <c r="A26" s="5" t="s">
        <v>76</v>
      </c>
      <c r="B26" s="5" t="s">
        <v>77</v>
      </c>
    </row>
    <row r="27" spans="1:2" ht="15.75" customHeight="1">
      <c r="A27" s="5" t="s">
        <v>78</v>
      </c>
      <c r="B27" s="5" t="s">
        <v>79</v>
      </c>
    </row>
    <row r="28" spans="1:2" ht="15.75" customHeight="1">
      <c r="A28" s="5" t="s">
        <v>80</v>
      </c>
      <c r="B28" s="5" t="s">
        <v>81</v>
      </c>
    </row>
    <row r="29" spans="1:2" ht="15.75" customHeight="1">
      <c r="A29" s="5" t="s">
        <v>82</v>
      </c>
      <c r="B29" s="5" t="s">
        <v>83</v>
      </c>
    </row>
    <row r="30" spans="1:2" ht="15.75" customHeight="1">
      <c r="A30" s="5" t="s">
        <v>84</v>
      </c>
      <c r="B30" s="5" t="s">
        <v>85</v>
      </c>
    </row>
    <row r="31" spans="1:2" ht="15.75" customHeight="1">
      <c r="A31" s="5" t="s">
        <v>86</v>
      </c>
      <c r="B31" s="5" t="s">
        <v>87</v>
      </c>
    </row>
    <row r="32" spans="1:2" ht="15.75" customHeight="1">
      <c r="A32" s="5" t="s">
        <v>88</v>
      </c>
      <c r="B32" s="5" t="s">
        <v>89</v>
      </c>
    </row>
    <row r="33" spans="1:2" ht="15.75" customHeight="1">
      <c r="A33" s="5" t="s">
        <v>90</v>
      </c>
      <c r="B33" s="5" t="s">
        <v>91</v>
      </c>
    </row>
    <row r="34" spans="1:2" ht="15.75" customHeight="1">
      <c r="A34" s="5" t="s">
        <v>92</v>
      </c>
      <c r="B34" s="5" t="s">
        <v>93</v>
      </c>
    </row>
    <row r="35" spans="1:2" ht="15.75" customHeight="1">
      <c r="A35" s="5" t="s">
        <v>94</v>
      </c>
      <c r="B35" s="5" t="s">
        <v>95</v>
      </c>
    </row>
    <row r="36" spans="1:2" ht="15.75" customHeight="1">
      <c r="A36" s="9">
        <v>2</v>
      </c>
      <c r="B36" s="9" t="s">
        <v>96</v>
      </c>
    </row>
    <row r="37" spans="1:2" ht="15.75" customHeight="1">
      <c r="A37" s="10" t="s">
        <v>97</v>
      </c>
      <c r="B37" s="10" t="s">
        <v>98</v>
      </c>
    </row>
    <row r="38" spans="1:2" ht="15.75" customHeight="1">
      <c r="A38" s="5" t="s">
        <v>99</v>
      </c>
      <c r="B38" s="5" t="s">
        <v>100</v>
      </c>
    </row>
    <row r="39" spans="1:2" ht="15.75" customHeight="1">
      <c r="A39" s="5" t="s">
        <v>101</v>
      </c>
      <c r="B39" s="5" t="s">
        <v>102</v>
      </c>
    </row>
    <row r="40" spans="1:2" ht="15.75" customHeight="1">
      <c r="A40" s="5" t="s">
        <v>103</v>
      </c>
      <c r="B40" s="5" t="s">
        <v>104</v>
      </c>
    </row>
    <row r="41" spans="1:2" ht="15.75" customHeight="1">
      <c r="A41" s="5" t="s">
        <v>105</v>
      </c>
      <c r="B41" s="5" t="s">
        <v>106</v>
      </c>
    </row>
    <row r="42" spans="1:2" ht="15.75" customHeight="1">
      <c r="A42" s="10" t="s">
        <v>107</v>
      </c>
      <c r="B42" s="10" t="s">
        <v>108</v>
      </c>
    </row>
    <row r="43" spans="1:2" ht="15.75" customHeight="1">
      <c r="A43" s="5" t="s">
        <v>109</v>
      </c>
      <c r="B43" s="5" t="s">
        <v>110</v>
      </c>
    </row>
    <row r="44" spans="1:2" ht="15.75" customHeight="1">
      <c r="A44" s="5" t="s">
        <v>111</v>
      </c>
      <c r="B44" s="5" t="s">
        <v>112</v>
      </c>
    </row>
    <row r="45" spans="1:2" ht="15.75" customHeight="1">
      <c r="A45" s="5" t="s">
        <v>113</v>
      </c>
      <c r="B45" s="5" t="s">
        <v>114</v>
      </c>
    </row>
    <row r="46" spans="1:2" ht="15.75" customHeight="1">
      <c r="A46" s="5" t="s">
        <v>115</v>
      </c>
      <c r="B46" s="5" t="s">
        <v>116</v>
      </c>
    </row>
    <row r="47" spans="1:2" ht="15.75" customHeight="1">
      <c r="A47" s="5" t="s">
        <v>117</v>
      </c>
      <c r="B47" s="5" t="s">
        <v>118</v>
      </c>
    </row>
    <row r="48" spans="1:2" ht="15.75" customHeight="1">
      <c r="A48" s="5" t="s">
        <v>119</v>
      </c>
      <c r="B48" s="5" t="s">
        <v>120</v>
      </c>
    </row>
    <row r="49" spans="1:2" ht="15.75" customHeight="1">
      <c r="A49" s="10" t="s">
        <v>121</v>
      </c>
      <c r="B49" s="10" t="s">
        <v>122</v>
      </c>
    </row>
    <row r="50" spans="1:2" ht="15.75" customHeight="1">
      <c r="A50" s="5" t="s">
        <v>123</v>
      </c>
      <c r="B50" s="5" t="s">
        <v>124</v>
      </c>
    </row>
    <row r="51" spans="1:2" ht="15.75" customHeight="1">
      <c r="A51" s="5" t="s">
        <v>125</v>
      </c>
      <c r="B51" s="5" t="s">
        <v>126</v>
      </c>
    </row>
    <row r="52" spans="1:2" ht="15.75" customHeight="1">
      <c r="A52" s="5" t="s">
        <v>127</v>
      </c>
      <c r="B52" s="5" t="s">
        <v>128</v>
      </c>
    </row>
    <row r="53" spans="1:2" ht="15.75" customHeight="1">
      <c r="A53" s="10" t="s">
        <v>10</v>
      </c>
      <c r="B53" s="10" t="s">
        <v>129</v>
      </c>
    </row>
    <row r="54" spans="1:2" ht="15.75" customHeight="1">
      <c r="A54" s="5" t="s">
        <v>28</v>
      </c>
      <c r="B54" s="5" t="s">
        <v>130</v>
      </c>
    </row>
    <row r="55" spans="1:2" ht="15.75" customHeight="1">
      <c r="A55" s="5" t="s">
        <v>11</v>
      </c>
      <c r="B55" s="5" t="s">
        <v>131</v>
      </c>
    </row>
    <row r="56" spans="1:2" ht="15.75" customHeight="1">
      <c r="A56" s="5" t="s">
        <v>132</v>
      </c>
      <c r="B56" s="5" t="s">
        <v>133</v>
      </c>
    </row>
    <row r="57" spans="1:2" ht="15.75" customHeight="1">
      <c r="A57" s="5" t="s">
        <v>134</v>
      </c>
      <c r="B57" s="5" t="s">
        <v>135</v>
      </c>
    </row>
    <row r="58" spans="1:2" ht="15.75" customHeight="1">
      <c r="A58" s="5" t="s">
        <v>136</v>
      </c>
      <c r="B58" s="5" t="s">
        <v>137</v>
      </c>
    </row>
    <row r="59" spans="1:2" ht="15.75" customHeight="1">
      <c r="A59" s="5" t="s">
        <v>138</v>
      </c>
      <c r="B59" s="5" t="s">
        <v>139</v>
      </c>
    </row>
    <row r="60" spans="1:2" ht="15.75" customHeight="1">
      <c r="A60" s="5" t="s">
        <v>140</v>
      </c>
      <c r="B60" s="5" t="s">
        <v>141</v>
      </c>
    </row>
    <row r="61" spans="1:2" ht="15.75" customHeight="1">
      <c r="A61" s="5" t="s">
        <v>142</v>
      </c>
      <c r="B61" s="5" t="s">
        <v>143</v>
      </c>
    </row>
    <row r="62" spans="1:2" ht="15.75" customHeight="1">
      <c r="A62" s="5" t="s">
        <v>144</v>
      </c>
      <c r="B62" s="5" t="s">
        <v>145</v>
      </c>
    </row>
    <row r="63" spans="1:2" ht="15.75" customHeight="1">
      <c r="A63" s="5" t="s">
        <v>146</v>
      </c>
      <c r="B63" s="5" t="s">
        <v>147</v>
      </c>
    </row>
    <row r="64" spans="1:2" ht="15.75" customHeight="1">
      <c r="A64" s="10" t="s">
        <v>148</v>
      </c>
      <c r="B64" s="10" t="s">
        <v>149</v>
      </c>
    </row>
    <row r="65" spans="1:2" ht="15.75" customHeight="1">
      <c r="A65" s="5" t="s">
        <v>150</v>
      </c>
      <c r="B65" s="5" t="s">
        <v>151</v>
      </c>
    </row>
    <row r="66" spans="1:2" ht="15.75" customHeight="1">
      <c r="A66" s="5" t="s">
        <v>152</v>
      </c>
      <c r="B66" s="5" t="s">
        <v>153</v>
      </c>
    </row>
    <row r="67" spans="1:2" ht="15.75" customHeight="1">
      <c r="A67" s="5" t="s">
        <v>154</v>
      </c>
      <c r="B67" s="5" t="s">
        <v>155</v>
      </c>
    </row>
    <row r="68" spans="1:2" ht="15.75" customHeight="1">
      <c r="A68" s="5" t="s">
        <v>156</v>
      </c>
      <c r="B68" s="5" t="s">
        <v>157</v>
      </c>
    </row>
    <row r="69" spans="1:2" ht="15.75" customHeight="1">
      <c r="A69" s="5" t="s">
        <v>158</v>
      </c>
      <c r="B69" s="5" t="s">
        <v>159</v>
      </c>
    </row>
    <row r="70" spans="1:2" ht="15.75" customHeight="1">
      <c r="A70" s="5" t="s">
        <v>160</v>
      </c>
      <c r="B70" s="5" t="s">
        <v>161</v>
      </c>
    </row>
    <row r="71" spans="1:2" ht="15.75" customHeight="1">
      <c r="A71" s="9">
        <v>3</v>
      </c>
      <c r="B71" s="9" t="s">
        <v>162</v>
      </c>
    </row>
    <row r="72" spans="1:2" ht="15.75" customHeight="1">
      <c r="A72" s="10" t="s">
        <v>163</v>
      </c>
      <c r="B72" s="10" t="s">
        <v>164</v>
      </c>
    </row>
    <row r="73" spans="1:2" ht="15.75" customHeight="1">
      <c r="A73" s="5" t="s">
        <v>165</v>
      </c>
      <c r="B73" s="5" t="s">
        <v>166</v>
      </c>
    </row>
    <row r="74" spans="1:2" ht="15.75" customHeight="1">
      <c r="A74" s="5" t="s">
        <v>167</v>
      </c>
      <c r="B74" s="5" t="s">
        <v>168</v>
      </c>
    </row>
    <row r="75" spans="1:2" ht="15.75" customHeight="1">
      <c r="A75" s="5" t="s">
        <v>169</v>
      </c>
      <c r="B75" s="5" t="s">
        <v>170</v>
      </c>
    </row>
    <row r="76" spans="1:2" ht="15.75" customHeight="1">
      <c r="A76" s="5" t="s">
        <v>171</v>
      </c>
      <c r="B76" s="5" t="s">
        <v>172</v>
      </c>
    </row>
    <row r="77" spans="1:2" ht="15.75" customHeight="1">
      <c r="A77" s="5" t="s">
        <v>173</v>
      </c>
      <c r="B77" s="5" t="s">
        <v>174</v>
      </c>
    </row>
    <row r="78" spans="1:2" ht="15.75" customHeight="1">
      <c r="A78" s="5" t="s">
        <v>175</v>
      </c>
      <c r="B78" s="5" t="s">
        <v>176</v>
      </c>
    </row>
    <row r="79" spans="1:2" ht="15.75" customHeight="1">
      <c r="A79" s="10" t="s">
        <v>177</v>
      </c>
      <c r="B79" s="10" t="s">
        <v>178</v>
      </c>
    </row>
    <row r="80" spans="1:2" ht="15.75" customHeight="1">
      <c r="A80" s="5" t="s">
        <v>179</v>
      </c>
      <c r="B80" s="5" t="s">
        <v>180</v>
      </c>
    </row>
    <row r="81" spans="1:2" ht="15.75" customHeight="1">
      <c r="A81" s="5" t="s">
        <v>181</v>
      </c>
      <c r="B81" s="5" t="s">
        <v>182</v>
      </c>
    </row>
    <row r="82" spans="1:2" ht="15.75" customHeight="1">
      <c r="A82" s="5" t="s">
        <v>183</v>
      </c>
      <c r="B82" s="5" t="s">
        <v>184</v>
      </c>
    </row>
    <row r="83" spans="1:2" ht="15.75" customHeight="1">
      <c r="A83" s="5" t="s">
        <v>185</v>
      </c>
      <c r="B83" s="5" t="s">
        <v>186</v>
      </c>
    </row>
    <row r="84" spans="1:2" ht="15.75" customHeight="1">
      <c r="A84" s="5" t="s">
        <v>187</v>
      </c>
      <c r="B84" s="5" t="s">
        <v>188</v>
      </c>
    </row>
    <row r="85" spans="1:2" ht="15.75" customHeight="1">
      <c r="A85" s="10" t="s">
        <v>189</v>
      </c>
      <c r="B85" s="10" t="s">
        <v>190</v>
      </c>
    </row>
    <row r="86" spans="1:2" ht="15.75" customHeight="1">
      <c r="A86" s="5" t="s">
        <v>191</v>
      </c>
      <c r="B86" s="5" t="s">
        <v>192</v>
      </c>
    </row>
    <row r="87" spans="1:2" ht="15.75" customHeight="1">
      <c r="A87" s="5" t="s">
        <v>193</v>
      </c>
      <c r="B87" s="5" t="s">
        <v>194</v>
      </c>
    </row>
    <row r="88" spans="1:2" ht="15.75" customHeight="1">
      <c r="A88" s="5" t="s">
        <v>195</v>
      </c>
      <c r="B88" s="5" t="s">
        <v>196</v>
      </c>
    </row>
    <row r="89" spans="1:2" ht="15.75" customHeight="1">
      <c r="A89" s="5" t="s">
        <v>197</v>
      </c>
      <c r="B89" s="5" t="s">
        <v>198</v>
      </c>
    </row>
    <row r="90" spans="1:2" ht="15.75" customHeight="1">
      <c r="A90" s="5" t="s">
        <v>199</v>
      </c>
      <c r="B90" s="5" t="s">
        <v>200</v>
      </c>
    </row>
    <row r="91" spans="1:2" ht="15.75" customHeight="1">
      <c r="A91" s="5" t="s">
        <v>201</v>
      </c>
      <c r="B91" s="5" t="s">
        <v>202</v>
      </c>
    </row>
    <row r="92" spans="1:2" ht="15.75" customHeight="1">
      <c r="A92" s="9">
        <v>4</v>
      </c>
      <c r="B92" s="9" t="s">
        <v>203</v>
      </c>
    </row>
    <row r="93" spans="1:2" ht="15.75" customHeight="1">
      <c r="A93" s="10" t="s">
        <v>19</v>
      </c>
      <c r="B93" s="10" t="s">
        <v>204</v>
      </c>
    </row>
    <row r="94" spans="1:2" ht="15.75" customHeight="1">
      <c r="A94" s="5" t="s">
        <v>205</v>
      </c>
      <c r="B94" s="5" t="s">
        <v>206</v>
      </c>
    </row>
    <row r="95" spans="1:2" ht="15.75" customHeight="1">
      <c r="A95" s="5" t="s">
        <v>20</v>
      </c>
      <c r="B95" s="5" t="s">
        <v>207</v>
      </c>
    </row>
    <row r="96" spans="1:2" ht="15.75" customHeight="1">
      <c r="A96" s="5" t="s">
        <v>208</v>
      </c>
      <c r="B96" s="5" t="s">
        <v>209</v>
      </c>
    </row>
    <row r="97" spans="1:2" ht="15.75" customHeight="1">
      <c r="A97" s="9">
        <v>5</v>
      </c>
      <c r="B97" s="9" t="s">
        <v>210</v>
      </c>
    </row>
    <row r="98" spans="1:2" ht="15.75" customHeight="1">
      <c r="A98" s="10" t="s">
        <v>211</v>
      </c>
      <c r="B98" s="10" t="s">
        <v>212</v>
      </c>
    </row>
    <row r="99" spans="1:2" ht="15.75" customHeight="1">
      <c r="A99" s="10" t="s">
        <v>213</v>
      </c>
      <c r="B99" s="10" t="s">
        <v>214</v>
      </c>
    </row>
    <row r="100" spans="1:2" ht="15.75" customHeight="1">
      <c r="A100" s="7" t="s">
        <v>215</v>
      </c>
      <c r="B100" s="5" t="s">
        <v>216</v>
      </c>
    </row>
    <row r="101" spans="1:2" ht="15.75" customHeight="1">
      <c r="A101" s="7" t="s">
        <v>217</v>
      </c>
      <c r="B101" s="5" t="s">
        <v>218</v>
      </c>
    </row>
    <row r="102" spans="1:2" ht="15.75" customHeight="1">
      <c r="A102" s="7" t="s">
        <v>219</v>
      </c>
      <c r="B102" s="5" t="s">
        <v>220</v>
      </c>
    </row>
    <row r="103" spans="1:2" ht="15.75" customHeight="1">
      <c r="A103" s="7" t="s">
        <v>221</v>
      </c>
      <c r="B103" s="5" t="s">
        <v>222</v>
      </c>
    </row>
    <row r="104" spans="1:2" ht="15.75" customHeight="1">
      <c r="A104" s="7" t="s">
        <v>223</v>
      </c>
      <c r="B104" s="5" t="s">
        <v>224</v>
      </c>
    </row>
    <row r="105" spans="1:2" ht="15.75" customHeight="1">
      <c r="A105" s="10" t="s">
        <v>225</v>
      </c>
      <c r="B105" s="10" t="s">
        <v>226</v>
      </c>
    </row>
    <row r="106" spans="1:2" ht="15.75" customHeight="1">
      <c r="A106" s="7" t="s">
        <v>227</v>
      </c>
      <c r="B106" s="5" t="s">
        <v>228</v>
      </c>
    </row>
    <row r="107" spans="1:2" ht="15.75" customHeight="1">
      <c r="A107" s="7" t="s">
        <v>229</v>
      </c>
      <c r="B107" s="5" t="s">
        <v>230</v>
      </c>
    </row>
    <row r="108" spans="1:2" ht="15.75" customHeight="1">
      <c r="A108" s="10" t="s">
        <v>231</v>
      </c>
      <c r="B108" s="10" t="s">
        <v>232</v>
      </c>
    </row>
    <row r="109" spans="1:2" ht="15.75" customHeight="1">
      <c r="A109" s="10" t="s">
        <v>233</v>
      </c>
      <c r="B109" s="10" t="s">
        <v>234</v>
      </c>
    </row>
    <row r="110" spans="1:2" ht="15.75" customHeight="1">
      <c r="A110" s="11"/>
      <c r="B110" s="5"/>
    </row>
    <row r="111" spans="1:2" ht="15.75" customHeight="1">
      <c r="A111" s="11"/>
      <c r="B111" s="5"/>
    </row>
    <row r="112" spans="1:2" ht="15.75" customHeight="1">
      <c r="A112" s="11"/>
      <c r="B112" s="5"/>
    </row>
    <row r="113" spans="1:2" ht="15.75" customHeight="1">
      <c r="A113" s="11"/>
      <c r="B113" s="5"/>
    </row>
    <row r="114" spans="1:2" ht="15.75" customHeight="1">
      <c r="A114" s="11"/>
      <c r="B114" s="5"/>
    </row>
    <row r="115" spans="1:2" ht="15.75" customHeight="1">
      <c r="A115" s="11"/>
      <c r="B115" s="5"/>
    </row>
    <row r="116" spans="1:2" ht="15.75" customHeight="1">
      <c r="A116" s="11"/>
      <c r="B116" s="5"/>
    </row>
    <row r="117" spans="1:2" ht="15.75" customHeight="1">
      <c r="A117" s="11"/>
      <c r="B117" s="5"/>
    </row>
    <row r="118" spans="1:2" ht="15.75" customHeight="1">
      <c r="A118" s="11"/>
      <c r="B118" s="5"/>
    </row>
    <row r="119" spans="1:2" ht="15.75" customHeight="1">
      <c r="A119" s="11"/>
      <c r="B119" s="5"/>
    </row>
    <row r="120" spans="1:2" ht="15.75" customHeight="1">
      <c r="A120" s="11"/>
      <c r="B120" s="5"/>
    </row>
    <row r="121" spans="1:2" ht="15.75" customHeight="1">
      <c r="A121" s="11"/>
      <c r="B121" s="5"/>
    </row>
    <row r="122" spans="1:2" ht="15.75" customHeight="1">
      <c r="A122" s="11"/>
      <c r="B122" s="5"/>
    </row>
    <row r="123" spans="1:2" ht="15.75" customHeight="1">
      <c r="A123" s="11"/>
      <c r="B123" s="5"/>
    </row>
    <row r="124" spans="1:2" ht="15.75" customHeight="1">
      <c r="A124" s="11"/>
      <c r="B124" s="5"/>
    </row>
    <row r="125" spans="1:2" ht="15.75" customHeight="1">
      <c r="A125" s="11"/>
      <c r="B125" s="5"/>
    </row>
    <row r="126" spans="1:2" ht="15.75" customHeight="1">
      <c r="A126" s="11"/>
      <c r="B126" s="5"/>
    </row>
    <row r="127" spans="1:2" ht="15.75" customHeight="1">
      <c r="A127" s="11"/>
      <c r="B127" s="5"/>
    </row>
    <row r="128" spans="1:2" ht="15.75" customHeight="1">
      <c r="A128" s="11"/>
      <c r="B128" s="5"/>
    </row>
    <row r="129" spans="1:2" ht="15.75" customHeight="1">
      <c r="A129" s="11"/>
      <c r="B129" s="5"/>
    </row>
    <row r="130" spans="1:2" ht="15.75" customHeight="1">
      <c r="A130" s="11"/>
      <c r="B130" s="5"/>
    </row>
    <row r="131" spans="1:2" ht="15.75" customHeight="1">
      <c r="A131" s="11"/>
      <c r="B131" s="5"/>
    </row>
    <row r="132" spans="1:2" ht="15.75" customHeight="1">
      <c r="A132" s="11"/>
      <c r="B132" s="5"/>
    </row>
    <row r="133" spans="1:2" ht="15.75" customHeight="1">
      <c r="A133" s="11"/>
      <c r="B133" s="5"/>
    </row>
    <row r="134" spans="1:2" ht="15.75" customHeight="1">
      <c r="A134" s="11"/>
      <c r="B134" s="5"/>
    </row>
    <row r="135" spans="1:2" ht="15.75" customHeight="1">
      <c r="A135" s="11"/>
      <c r="B135" s="5"/>
    </row>
    <row r="136" spans="1:2" ht="15.75" customHeight="1">
      <c r="A136" s="11"/>
      <c r="B136" s="5"/>
    </row>
    <row r="137" spans="1:2" ht="15.75" customHeight="1">
      <c r="A137" s="11"/>
      <c r="B137" s="5"/>
    </row>
    <row r="138" spans="1:2" ht="15.75" customHeight="1">
      <c r="A138" s="11"/>
      <c r="B138" s="5"/>
    </row>
    <row r="139" spans="1:2" ht="15.75" customHeight="1">
      <c r="A139" s="11"/>
      <c r="B139" s="5"/>
    </row>
    <row r="140" spans="1:2" ht="15.75" customHeight="1">
      <c r="A140" s="11"/>
      <c r="B140" s="5"/>
    </row>
    <row r="141" spans="1:2" ht="15.75" customHeight="1">
      <c r="A141" s="11"/>
      <c r="B141" s="5"/>
    </row>
    <row r="142" spans="1:2" ht="15.75" customHeight="1">
      <c r="A142" s="11"/>
      <c r="B142" s="5"/>
    </row>
    <row r="143" spans="1:2" ht="15.75" customHeight="1">
      <c r="A143" s="11"/>
      <c r="B143" s="5"/>
    </row>
    <row r="144" spans="1:2" ht="15.75" customHeight="1">
      <c r="A144" s="11"/>
      <c r="B144" s="5"/>
    </row>
    <row r="145" spans="1:2" ht="15.75" customHeight="1">
      <c r="A145" s="11"/>
      <c r="B145" s="5"/>
    </row>
    <row r="146" spans="1:2" ht="15.75" customHeight="1">
      <c r="A146" s="11"/>
      <c r="B146" s="5"/>
    </row>
    <row r="147" spans="1:2" ht="15.75" customHeight="1">
      <c r="A147" s="11"/>
      <c r="B147" s="5"/>
    </row>
    <row r="148" spans="1:2" ht="15.75" customHeight="1">
      <c r="A148" s="11"/>
      <c r="B148" s="5"/>
    </row>
    <row r="149" spans="1:2" ht="15.75" customHeight="1">
      <c r="A149" s="11"/>
      <c r="B149" s="5"/>
    </row>
    <row r="150" spans="1:2" ht="15.75" customHeight="1">
      <c r="A150" s="11"/>
      <c r="B150" s="5"/>
    </row>
    <row r="151" spans="1:2" ht="15.75" customHeight="1">
      <c r="A151" s="11"/>
      <c r="B151" s="5"/>
    </row>
    <row r="152" spans="1:2" ht="15.75" customHeight="1">
      <c r="A152" s="11"/>
      <c r="B152" s="5"/>
    </row>
    <row r="153" spans="1:2" ht="15.75" customHeight="1">
      <c r="A153" s="11"/>
      <c r="B153" s="5"/>
    </row>
    <row r="154" spans="1:2" ht="15.75" customHeight="1">
      <c r="A154" s="11"/>
      <c r="B154" s="5"/>
    </row>
    <row r="155" spans="1:2" ht="15.75" customHeight="1">
      <c r="A155" s="11"/>
      <c r="B155" s="5"/>
    </row>
    <row r="156" spans="1:2" ht="15.75" customHeight="1">
      <c r="A156" s="11"/>
      <c r="B156" s="5"/>
    </row>
    <row r="157" spans="1:2" ht="15.75" customHeight="1">
      <c r="A157" s="11"/>
      <c r="B157" s="5"/>
    </row>
    <row r="158" spans="1:2" ht="15.75" customHeight="1">
      <c r="A158" s="11"/>
      <c r="B158" s="5"/>
    </row>
    <row r="159" spans="1:2" ht="15.75" customHeight="1">
      <c r="A159" s="11"/>
      <c r="B159" s="5"/>
    </row>
    <row r="160" spans="1:2" ht="15.75" customHeight="1">
      <c r="A160" s="11"/>
      <c r="B160" s="5"/>
    </row>
    <row r="161" spans="1:2" ht="15.75" customHeight="1">
      <c r="A161" s="11"/>
      <c r="B161" s="5"/>
    </row>
    <row r="162" spans="1:2" ht="15.75" customHeight="1">
      <c r="A162" s="11"/>
      <c r="B162" s="5"/>
    </row>
    <row r="163" spans="1:2" ht="15.75" customHeight="1">
      <c r="A163" s="11"/>
      <c r="B163" s="5"/>
    </row>
    <row r="164" spans="1:2" ht="15.75" customHeight="1">
      <c r="A164" s="11"/>
      <c r="B164" s="5"/>
    </row>
    <row r="165" spans="1:2" ht="15.75" customHeight="1">
      <c r="A165" s="11"/>
      <c r="B165" s="5"/>
    </row>
    <row r="166" spans="1:2" ht="15.75" customHeight="1">
      <c r="A166" s="11"/>
      <c r="B166" s="5"/>
    </row>
    <row r="167" spans="1:2" ht="15.75" customHeight="1">
      <c r="A167" s="11"/>
      <c r="B167" s="5"/>
    </row>
    <row r="168" spans="1:2" ht="15.75" customHeight="1">
      <c r="A168" s="11"/>
      <c r="B168" s="5"/>
    </row>
    <row r="169" spans="1:2" ht="15.75" customHeight="1">
      <c r="A169" s="11"/>
      <c r="B169" s="5"/>
    </row>
    <row r="170" spans="1:2" ht="15.75" customHeight="1">
      <c r="A170" s="11"/>
      <c r="B170" s="5"/>
    </row>
    <row r="171" spans="1:2" ht="15.75" customHeight="1">
      <c r="A171" s="11"/>
      <c r="B171" s="5"/>
    </row>
    <row r="172" spans="1:2" ht="15.75" customHeight="1">
      <c r="A172" s="11"/>
      <c r="B172" s="5"/>
    </row>
    <row r="173" spans="1:2" ht="15.75" customHeight="1">
      <c r="A173" s="11"/>
      <c r="B173" s="5"/>
    </row>
    <row r="174" spans="1:2" ht="15.75" customHeight="1">
      <c r="A174" s="11"/>
      <c r="B174" s="5"/>
    </row>
    <row r="175" spans="1:2" ht="15.75" customHeight="1">
      <c r="A175" s="11"/>
      <c r="B175" s="5"/>
    </row>
    <row r="176" spans="1:2" ht="15.75" customHeight="1">
      <c r="A176" s="11"/>
      <c r="B176" s="5"/>
    </row>
    <row r="177" spans="1:2" ht="15.75" customHeight="1">
      <c r="A177" s="11"/>
      <c r="B177" s="5"/>
    </row>
    <row r="178" spans="1:2" ht="15.75" customHeight="1">
      <c r="A178" s="11"/>
      <c r="B178" s="5"/>
    </row>
    <row r="179" spans="1:2" ht="15.75" customHeight="1">
      <c r="A179" s="11"/>
      <c r="B179" s="5"/>
    </row>
    <row r="180" spans="1:2" ht="15.75" customHeight="1">
      <c r="A180" s="11"/>
      <c r="B180" s="5"/>
    </row>
    <row r="181" spans="1:2" ht="15.75" customHeight="1">
      <c r="A181" s="11"/>
      <c r="B181" s="5"/>
    </row>
    <row r="182" spans="1:2" ht="15.75" customHeight="1">
      <c r="A182" s="11"/>
      <c r="B182" s="5"/>
    </row>
    <row r="183" spans="1:2" ht="15.75" customHeight="1">
      <c r="A183" s="11"/>
      <c r="B183" s="5"/>
    </row>
    <row r="184" spans="1:2" ht="15.75" customHeight="1">
      <c r="A184" s="11"/>
      <c r="B184" s="5"/>
    </row>
    <row r="185" spans="1:2" ht="15.75" customHeight="1">
      <c r="A185" s="11"/>
      <c r="B185" s="5"/>
    </row>
    <row r="186" spans="1:2" ht="15.75" customHeight="1">
      <c r="A186" s="11"/>
      <c r="B186" s="5"/>
    </row>
    <row r="187" spans="1:2" ht="15.75" customHeight="1">
      <c r="A187" s="11"/>
      <c r="B187" s="5"/>
    </row>
    <row r="188" spans="1:2" ht="15.75" customHeight="1">
      <c r="A188" s="11"/>
      <c r="B188" s="5"/>
    </row>
    <row r="189" spans="1:2" ht="15.75" customHeight="1">
      <c r="A189" s="11"/>
      <c r="B189" s="5"/>
    </row>
    <row r="190" spans="1:2" ht="15.75" customHeight="1">
      <c r="A190" s="11"/>
      <c r="B190" s="5"/>
    </row>
    <row r="191" spans="1:2" ht="15.75" customHeight="1">
      <c r="A191" s="11"/>
      <c r="B191" s="5"/>
    </row>
    <row r="192" spans="1:2" ht="15.75" customHeight="1">
      <c r="A192" s="11"/>
      <c r="B192" s="5"/>
    </row>
    <row r="193" spans="1:2" ht="15.75" customHeight="1">
      <c r="A193" s="11"/>
      <c r="B193" s="5"/>
    </row>
    <row r="194" spans="1:2" ht="15.75" customHeight="1">
      <c r="A194" s="11"/>
      <c r="B194" s="5"/>
    </row>
    <row r="195" spans="1:2" ht="15.75" customHeight="1">
      <c r="A195" s="11"/>
      <c r="B195" s="5"/>
    </row>
    <row r="196" spans="1:2" ht="15.75" customHeight="1">
      <c r="A196" s="11"/>
      <c r="B196" s="5"/>
    </row>
    <row r="197" spans="1:2" ht="15.75" customHeight="1">
      <c r="A197" s="11"/>
      <c r="B197" s="5"/>
    </row>
    <row r="198" spans="1:2" ht="15.75" customHeight="1">
      <c r="A198" s="11"/>
      <c r="B198" s="5"/>
    </row>
    <row r="199" spans="1:2" ht="15.75" customHeight="1">
      <c r="A199" s="11"/>
      <c r="B199" s="5"/>
    </row>
    <row r="200" spans="1:2" ht="15.75" customHeight="1">
      <c r="A200" s="11"/>
      <c r="B200" s="5"/>
    </row>
    <row r="201" spans="1:2" ht="15.75" customHeight="1">
      <c r="A201" s="11"/>
      <c r="B201" s="5"/>
    </row>
    <row r="202" spans="1:2" ht="15.75" customHeight="1">
      <c r="A202" s="11"/>
      <c r="B202" s="5"/>
    </row>
    <row r="203" spans="1:2" ht="15.75" customHeight="1">
      <c r="A203" s="11"/>
      <c r="B203" s="5"/>
    </row>
    <row r="204" spans="1:2" ht="15.75" customHeight="1">
      <c r="A204" s="11"/>
      <c r="B204" s="5"/>
    </row>
    <row r="205" spans="1:2" ht="15.75" customHeight="1">
      <c r="A205" s="11"/>
      <c r="B205" s="5"/>
    </row>
    <row r="206" spans="1:2" ht="15.75" customHeight="1">
      <c r="A206" s="11"/>
      <c r="B206" s="5"/>
    </row>
    <row r="207" spans="1:2" ht="15.75" customHeight="1">
      <c r="A207" s="11"/>
      <c r="B207" s="5"/>
    </row>
    <row r="208" spans="1:2" ht="15.75" customHeight="1">
      <c r="A208" s="11"/>
      <c r="B208" s="5"/>
    </row>
    <row r="209" spans="1:2" ht="15.75" customHeight="1">
      <c r="A209" s="11"/>
      <c r="B209" s="5"/>
    </row>
    <row r="210" spans="1:2" ht="15.75" customHeight="1">
      <c r="A210" s="11"/>
      <c r="B210" s="5"/>
    </row>
    <row r="211" spans="1:2" ht="15.75" customHeight="1">
      <c r="A211" s="11"/>
      <c r="B211" s="5"/>
    </row>
    <row r="212" spans="1:2" ht="15.75" customHeight="1">
      <c r="A212" s="11"/>
      <c r="B212" s="5"/>
    </row>
    <row r="213" spans="1:2" ht="15.75" customHeight="1">
      <c r="A213" s="11"/>
      <c r="B213" s="5"/>
    </row>
    <row r="214" spans="1:2" ht="15.75" customHeight="1">
      <c r="A214" s="11"/>
      <c r="B214" s="5"/>
    </row>
    <row r="215" spans="1:2" ht="15.75" customHeight="1">
      <c r="A215" s="11"/>
      <c r="B215" s="5"/>
    </row>
    <row r="216" spans="1:2" ht="15.75" customHeight="1">
      <c r="A216" s="11"/>
      <c r="B216" s="5"/>
    </row>
    <row r="217" spans="1:2" ht="15.75" customHeight="1">
      <c r="A217" s="11"/>
      <c r="B217" s="5"/>
    </row>
    <row r="218" spans="1:2" ht="15.75" customHeight="1">
      <c r="A218" s="11"/>
      <c r="B218" s="5"/>
    </row>
    <row r="219" spans="1:2" ht="15.75" customHeight="1">
      <c r="A219" s="11"/>
      <c r="B219" s="5"/>
    </row>
    <row r="220" spans="1:2" ht="15.75" customHeight="1">
      <c r="A220" s="11"/>
      <c r="B220" s="5"/>
    </row>
    <row r="221" spans="1:2" ht="15.75" customHeight="1">
      <c r="A221" s="11"/>
      <c r="B221" s="5"/>
    </row>
    <row r="222" spans="1:2" ht="15.75" customHeight="1">
      <c r="A222" s="11"/>
      <c r="B222" s="5"/>
    </row>
    <row r="223" spans="1:2" ht="15.75" customHeight="1">
      <c r="A223" s="11"/>
      <c r="B223" s="5"/>
    </row>
    <row r="224" spans="1:2" ht="15.75" customHeight="1">
      <c r="A224" s="11"/>
      <c r="B224" s="5"/>
    </row>
    <row r="225" spans="1:2" ht="15.75" customHeight="1">
      <c r="A225" s="11"/>
      <c r="B225" s="5"/>
    </row>
    <row r="226" spans="1:2" ht="15.75" customHeight="1">
      <c r="A226" s="11"/>
      <c r="B226" s="5"/>
    </row>
    <row r="227" spans="1:2" ht="15.75" customHeight="1">
      <c r="A227" s="11"/>
      <c r="B227" s="5"/>
    </row>
    <row r="228" spans="1:2" ht="15.75" customHeight="1">
      <c r="A228" s="11"/>
      <c r="B228" s="5"/>
    </row>
    <row r="229" spans="1:2" ht="15.75" customHeight="1">
      <c r="A229" s="11"/>
      <c r="B229" s="5"/>
    </row>
    <row r="230" spans="1:2" ht="15.75" customHeight="1">
      <c r="A230" s="11"/>
      <c r="B230" s="5"/>
    </row>
    <row r="231" spans="1:2" ht="15.75" customHeight="1">
      <c r="A231" s="11"/>
      <c r="B231" s="5"/>
    </row>
    <row r="232" spans="1:2" ht="15.75" customHeight="1">
      <c r="A232" s="11"/>
      <c r="B232" s="5"/>
    </row>
    <row r="233" spans="1:2" ht="15.75" customHeight="1">
      <c r="A233" s="11"/>
      <c r="B233" s="5"/>
    </row>
    <row r="234" spans="1:2" ht="15.75" customHeight="1">
      <c r="A234" s="11"/>
      <c r="B234" s="5"/>
    </row>
    <row r="235" spans="1:2" ht="15.75" customHeight="1">
      <c r="A235" s="11"/>
      <c r="B235" s="5"/>
    </row>
    <row r="236" spans="1:2" ht="15.75" customHeight="1">
      <c r="A236" s="11"/>
      <c r="B236" s="5"/>
    </row>
    <row r="237" spans="1:2" ht="15.75" customHeight="1">
      <c r="A237" s="11"/>
      <c r="B237" s="5"/>
    </row>
    <row r="238" spans="1:2" ht="15.75" customHeight="1">
      <c r="A238" s="11"/>
      <c r="B238" s="5"/>
    </row>
    <row r="239" spans="1:2" ht="15.75" customHeight="1">
      <c r="A239" s="11"/>
      <c r="B239" s="5"/>
    </row>
    <row r="240" spans="1:2" ht="15.75" customHeight="1">
      <c r="A240" s="11"/>
      <c r="B240" s="5"/>
    </row>
    <row r="241" spans="1:2" ht="15.75" customHeight="1">
      <c r="A241" s="11"/>
      <c r="B241" s="5"/>
    </row>
    <row r="242" spans="1:2" ht="15.75" customHeight="1">
      <c r="A242" s="11"/>
      <c r="B242" s="5"/>
    </row>
    <row r="243" spans="1:2" ht="15.75" customHeight="1">
      <c r="A243" s="11"/>
      <c r="B243" s="5"/>
    </row>
    <row r="244" spans="1:2" ht="15.75" customHeight="1">
      <c r="A244" s="11"/>
      <c r="B244" s="5"/>
    </row>
    <row r="245" spans="1:2" ht="15.75" customHeight="1">
      <c r="A245" s="11"/>
      <c r="B245" s="5"/>
    </row>
    <row r="246" spans="1:2" ht="15.75" customHeight="1">
      <c r="A246" s="11"/>
      <c r="B246" s="5"/>
    </row>
    <row r="247" spans="1:2" ht="15.75" customHeight="1">
      <c r="A247" s="11"/>
      <c r="B247" s="5"/>
    </row>
    <row r="248" spans="1:2" ht="15.75" customHeight="1">
      <c r="A248" s="11"/>
      <c r="B248" s="5"/>
    </row>
    <row r="249" spans="1:2" ht="15.75" customHeight="1">
      <c r="A249" s="11"/>
      <c r="B249" s="5"/>
    </row>
    <row r="250" spans="1:2" ht="15.75" customHeight="1">
      <c r="A250" s="11"/>
      <c r="B250" s="5"/>
    </row>
    <row r="251" spans="1:2" ht="15.75" customHeight="1">
      <c r="A251" s="11"/>
      <c r="B251" s="5"/>
    </row>
    <row r="252" spans="1:2" ht="15.75" customHeight="1">
      <c r="A252" s="11"/>
      <c r="B252" s="5"/>
    </row>
    <row r="253" spans="1:2" ht="15.75" customHeight="1">
      <c r="A253" s="11"/>
      <c r="B253" s="5"/>
    </row>
    <row r="254" spans="1:2" ht="15.75" customHeight="1">
      <c r="A254" s="11"/>
      <c r="B254" s="5"/>
    </row>
    <row r="255" spans="1:2" ht="15.75" customHeight="1">
      <c r="A255" s="11"/>
      <c r="B255" s="5"/>
    </row>
    <row r="256" spans="1:2" ht="15.75" customHeight="1">
      <c r="A256" s="11"/>
      <c r="B256" s="5"/>
    </row>
    <row r="257" spans="1:2" ht="15.75" customHeight="1">
      <c r="A257" s="11"/>
      <c r="B257" s="5"/>
    </row>
    <row r="258" spans="1:2" ht="15.75" customHeight="1">
      <c r="A258" s="11"/>
      <c r="B258" s="5"/>
    </row>
    <row r="259" spans="1:2" ht="15.75" customHeight="1">
      <c r="A259" s="11"/>
      <c r="B259" s="5"/>
    </row>
    <row r="260" spans="1:2" ht="15.75" customHeight="1">
      <c r="A260" s="11"/>
      <c r="B260" s="5"/>
    </row>
    <row r="261" spans="1:2" ht="15.75" customHeight="1">
      <c r="A261" s="11"/>
      <c r="B261" s="5"/>
    </row>
    <row r="262" spans="1:2" ht="15.75" customHeight="1">
      <c r="A262" s="11"/>
      <c r="B262" s="5"/>
    </row>
    <row r="263" spans="1:2" ht="15.75" customHeight="1">
      <c r="A263" s="11"/>
      <c r="B263" s="5"/>
    </row>
    <row r="264" spans="1:2" ht="15.75" customHeight="1">
      <c r="A264" s="11"/>
      <c r="B264" s="5"/>
    </row>
    <row r="265" spans="1:2" ht="15.75" customHeight="1">
      <c r="A265" s="11"/>
      <c r="B265" s="5"/>
    </row>
    <row r="266" spans="1:2" ht="15.75" customHeight="1">
      <c r="A266" s="11"/>
      <c r="B266" s="5"/>
    </row>
    <row r="267" spans="1:2" ht="15.75" customHeight="1">
      <c r="A267" s="11"/>
      <c r="B267" s="5"/>
    </row>
    <row r="268" spans="1:2" ht="15.75" customHeight="1">
      <c r="A268" s="11"/>
      <c r="B268" s="5"/>
    </row>
    <row r="269" spans="1:2" ht="15.75" customHeight="1">
      <c r="A269" s="11"/>
      <c r="B269" s="5"/>
    </row>
    <row r="270" spans="1:2" ht="15.75" customHeight="1">
      <c r="A270" s="11"/>
      <c r="B270" s="5"/>
    </row>
    <row r="271" spans="1:2" ht="15.75" customHeight="1">
      <c r="A271" s="11"/>
      <c r="B271" s="5"/>
    </row>
    <row r="272" spans="1:2" ht="15.75" customHeight="1">
      <c r="A272" s="11"/>
      <c r="B272" s="5"/>
    </row>
    <row r="273" spans="1:2" ht="15.75" customHeight="1">
      <c r="A273" s="11"/>
      <c r="B273" s="5"/>
    </row>
    <row r="274" spans="1:2" ht="15.75" customHeight="1">
      <c r="A274" s="11"/>
      <c r="B274" s="5"/>
    </row>
    <row r="275" spans="1:2" ht="15.75" customHeight="1">
      <c r="A275" s="11"/>
      <c r="B275" s="5"/>
    </row>
    <row r="276" spans="1:2" ht="15.75" customHeight="1">
      <c r="A276" s="11"/>
      <c r="B276" s="5"/>
    </row>
    <row r="277" spans="1:2" ht="15.75" customHeight="1">
      <c r="A277" s="11"/>
      <c r="B277" s="5"/>
    </row>
    <row r="278" spans="1:2" ht="15.75" customHeight="1">
      <c r="A278" s="11"/>
      <c r="B278" s="5"/>
    </row>
    <row r="279" spans="1:2" ht="15.75" customHeight="1">
      <c r="A279" s="11"/>
      <c r="B279" s="5"/>
    </row>
    <row r="280" spans="1:2" ht="15.75" customHeight="1">
      <c r="A280" s="11"/>
      <c r="B280" s="5"/>
    </row>
    <row r="281" spans="1:2" ht="15.75" customHeight="1">
      <c r="A281" s="11"/>
      <c r="B281" s="5"/>
    </row>
    <row r="282" spans="1:2" ht="15.75" customHeight="1">
      <c r="A282" s="11"/>
      <c r="B282" s="5"/>
    </row>
    <row r="283" spans="1:2" ht="15.75" customHeight="1">
      <c r="A283" s="11"/>
      <c r="B283" s="5"/>
    </row>
    <row r="284" spans="1:2" ht="15.75" customHeight="1">
      <c r="A284" s="11"/>
      <c r="B284" s="5"/>
    </row>
    <row r="285" spans="1:2" ht="15.75" customHeight="1">
      <c r="A285" s="11"/>
      <c r="B285" s="5"/>
    </row>
    <row r="286" spans="1:2" ht="15.75" customHeight="1">
      <c r="A286" s="11"/>
      <c r="B286" s="5"/>
    </row>
    <row r="287" spans="1:2" ht="15.75" customHeight="1">
      <c r="A287" s="11"/>
      <c r="B287" s="5"/>
    </row>
    <row r="288" spans="1:2" ht="15.75" customHeight="1">
      <c r="A288" s="11"/>
      <c r="B288" s="5"/>
    </row>
    <row r="289" spans="1:2" ht="15.75" customHeight="1">
      <c r="A289" s="11"/>
      <c r="B289" s="5"/>
    </row>
    <row r="290" spans="1:2" ht="15.75" customHeight="1">
      <c r="A290" s="11"/>
      <c r="B290" s="5"/>
    </row>
    <row r="291" spans="1:2" ht="15.75" customHeight="1">
      <c r="A291" s="11"/>
      <c r="B291" s="5"/>
    </row>
    <row r="292" spans="1:2" ht="15.75" customHeight="1">
      <c r="A292" s="11"/>
      <c r="B292" s="5"/>
    </row>
    <row r="293" spans="1:2" ht="15.75" customHeight="1">
      <c r="A293" s="11"/>
      <c r="B293" s="5"/>
    </row>
    <row r="294" spans="1:2" ht="15.75" customHeight="1">
      <c r="A294" s="11"/>
      <c r="B294" s="5"/>
    </row>
    <row r="295" spans="1:2" ht="15.75" customHeight="1">
      <c r="A295" s="11"/>
      <c r="B295" s="5"/>
    </row>
    <row r="296" spans="1:2" ht="15.75" customHeight="1">
      <c r="A296" s="11"/>
      <c r="B296" s="5"/>
    </row>
    <row r="297" spans="1:2" ht="15.75" customHeight="1">
      <c r="A297" s="11"/>
      <c r="B297" s="5"/>
    </row>
    <row r="298" spans="1:2" ht="15.75" customHeight="1">
      <c r="A298" s="11"/>
      <c r="B298" s="5"/>
    </row>
    <row r="299" spans="1:2" ht="15.75" customHeight="1">
      <c r="A299" s="11"/>
      <c r="B299" s="5"/>
    </row>
    <row r="300" spans="1:2" ht="15.75" customHeight="1">
      <c r="A300" s="11"/>
      <c r="B300" s="5"/>
    </row>
    <row r="301" spans="1:2" ht="15.75" customHeight="1">
      <c r="A301" s="11"/>
      <c r="B301" s="5"/>
    </row>
    <row r="302" spans="1:2" ht="15.75" customHeight="1">
      <c r="A302" s="11"/>
      <c r="B302" s="5"/>
    </row>
    <row r="303" spans="1:2" ht="15.75" customHeight="1">
      <c r="A303" s="11"/>
      <c r="B303" s="5"/>
    </row>
    <row r="304" spans="1:2" ht="15.75" customHeight="1">
      <c r="A304" s="11"/>
      <c r="B304" s="5"/>
    </row>
    <row r="305" spans="1:2" ht="15.75" customHeight="1">
      <c r="A305" s="11"/>
      <c r="B305" s="5"/>
    </row>
    <row r="306" spans="1:2" ht="15.75" customHeight="1">
      <c r="A306" s="11"/>
      <c r="B306" s="5"/>
    </row>
    <row r="307" spans="1:2" ht="15.75" customHeight="1">
      <c r="A307" s="11"/>
      <c r="B307" s="5"/>
    </row>
    <row r="308" spans="1:2" ht="15.75" customHeight="1">
      <c r="A308" s="11"/>
      <c r="B308" s="5"/>
    </row>
    <row r="309" spans="1:2" ht="15.75" customHeight="1">
      <c r="A309" s="11"/>
      <c r="B309" s="5"/>
    </row>
    <row r="310" spans="1:2" ht="15.75" customHeight="1">
      <c r="A310" s="11"/>
      <c r="B310" s="5"/>
    </row>
    <row r="311" spans="1:2" ht="15.75" customHeight="1">
      <c r="A311" s="11"/>
      <c r="B311" s="5"/>
    </row>
    <row r="312" spans="1:2" ht="15.75" customHeight="1">
      <c r="A312" s="11"/>
      <c r="B312" s="5"/>
    </row>
    <row r="313" spans="1:2" ht="15.75" customHeight="1">
      <c r="A313" s="11"/>
      <c r="B313" s="5"/>
    </row>
    <row r="314" spans="1:2" ht="15.75" customHeight="1">
      <c r="A314" s="11"/>
      <c r="B314" s="5"/>
    </row>
    <row r="315" spans="1:2" ht="15.75" customHeight="1">
      <c r="A315" s="11"/>
      <c r="B315" s="5"/>
    </row>
    <row r="316" spans="1:2" ht="15.75" customHeight="1">
      <c r="A316" s="11"/>
      <c r="B316" s="5"/>
    </row>
    <row r="317" spans="1:2" ht="15.75" customHeight="1">
      <c r="A317" s="11"/>
      <c r="B317" s="5"/>
    </row>
    <row r="318" spans="1:2" ht="15.75" customHeight="1">
      <c r="A318" s="11"/>
      <c r="B318" s="5"/>
    </row>
    <row r="319" spans="1:2" ht="15.75" customHeight="1">
      <c r="A319" s="11"/>
      <c r="B319" s="5"/>
    </row>
    <row r="320" spans="1:2" ht="15.75" customHeight="1">
      <c r="A320" s="11"/>
      <c r="B320" s="5"/>
    </row>
    <row r="321" spans="1:2" ht="15.75" customHeight="1">
      <c r="A321" s="11"/>
      <c r="B321" s="5"/>
    </row>
    <row r="322" spans="1:2" ht="15.75" customHeight="1">
      <c r="A322" s="11"/>
      <c r="B322" s="5"/>
    </row>
    <row r="323" spans="1:2" ht="15.75" customHeight="1">
      <c r="A323" s="11"/>
      <c r="B323" s="5"/>
    </row>
    <row r="324" spans="1:2" ht="15.75" customHeight="1">
      <c r="A324" s="11"/>
      <c r="B324" s="5"/>
    </row>
    <row r="325" spans="1:2" ht="15.75" customHeight="1">
      <c r="A325" s="11"/>
      <c r="B325" s="5"/>
    </row>
    <row r="326" spans="1:2" ht="15.75" customHeight="1">
      <c r="A326" s="11"/>
      <c r="B326" s="5"/>
    </row>
    <row r="327" spans="1:2" ht="15.75" customHeight="1">
      <c r="A327" s="11"/>
      <c r="B327" s="5"/>
    </row>
    <row r="328" spans="1:2" ht="15.75" customHeight="1">
      <c r="A328" s="11"/>
      <c r="B328" s="5"/>
    </row>
    <row r="329" spans="1:2" ht="15.75" customHeight="1">
      <c r="A329" s="11"/>
      <c r="B329" s="5"/>
    </row>
    <row r="330" spans="1:2" ht="15.75" customHeight="1">
      <c r="A330" s="11"/>
      <c r="B330" s="5"/>
    </row>
    <row r="331" spans="1:2" ht="15.75" customHeight="1">
      <c r="A331" s="11"/>
      <c r="B331" s="5"/>
    </row>
    <row r="332" spans="1:2" ht="15.75" customHeight="1">
      <c r="A332" s="11"/>
      <c r="B332" s="5"/>
    </row>
    <row r="333" spans="1:2" ht="15.75" customHeight="1">
      <c r="A333" s="11"/>
      <c r="B333" s="5"/>
    </row>
    <row r="334" spans="1:2" ht="15.75" customHeight="1">
      <c r="A334" s="11"/>
      <c r="B334" s="5"/>
    </row>
    <row r="335" spans="1:2" ht="15.75" customHeight="1">
      <c r="A335" s="11"/>
      <c r="B335" s="5"/>
    </row>
    <row r="336" spans="1:2" ht="15.75" customHeight="1">
      <c r="A336" s="11"/>
      <c r="B336" s="5"/>
    </row>
    <row r="337" spans="1:2" ht="15.75" customHeight="1">
      <c r="A337" s="11"/>
      <c r="B337" s="5"/>
    </row>
    <row r="338" spans="1:2" ht="15.75" customHeight="1">
      <c r="A338" s="11"/>
      <c r="B338" s="5"/>
    </row>
    <row r="339" spans="1:2" ht="15.75" customHeight="1">
      <c r="A339" s="11"/>
      <c r="B339" s="5"/>
    </row>
    <row r="340" spans="1:2" ht="15.75" customHeight="1">
      <c r="A340" s="11"/>
      <c r="B340" s="5"/>
    </row>
    <row r="341" spans="1:2" ht="15.75" customHeight="1">
      <c r="A341" s="11"/>
      <c r="B341" s="5"/>
    </row>
    <row r="342" spans="1:2" ht="15.75" customHeight="1">
      <c r="A342" s="11"/>
      <c r="B342" s="5"/>
    </row>
    <row r="343" spans="1:2" ht="15.75" customHeight="1">
      <c r="A343" s="11"/>
      <c r="B343" s="5"/>
    </row>
    <row r="344" spans="1:2" ht="15.75" customHeight="1">
      <c r="A344" s="11"/>
      <c r="B344" s="5"/>
    </row>
    <row r="345" spans="1:2" ht="15.75" customHeight="1">
      <c r="A345" s="11"/>
      <c r="B345" s="5"/>
    </row>
    <row r="346" spans="1:2" ht="15.75" customHeight="1">
      <c r="A346" s="11"/>
      <c r="B346" s="5"/>
    </row>
    <row r="347" spans="1:2" ht="15.75" customHeight="1">
      <c r="A347" s="11"/>
      <c r="B347" s="5"/>
    </row>
    <row r="348" spans="1:2" ht="15.75" customHeight="1">
      <c r="A348" s="11"/>
      <c r="B348" s="5"/>
    </row>
    <row r="349" spans="1:2" ht="15.75" customHeight="1">
      <c r="A349" s="11"/>
      <c r="B349" s="5"/>
    </row>
    <row r="350" spans="1:2" ht="15.75" customHeight="1">
      <c r="A350" s="11"/>
      <c r="B350" s="5"/>
    </row>
    <row r="351" spans="1:2" ht="15.75" customHeight="1">
      <c r="A351" s="11"/>
      <c r="B351" s="5"/>
    </row>
    <row r="352" spans="1:2" ht="15.75" customHeight="1">
      <c r="A352" s="11"/>
      <c r="B352" s="5"/>
    </row>
    <row r="353" spans="1:2" ht="15.75" customHeight="1">
      <c r="A353" s="11"/>
      <c r="B353" s="5"/>
    </row>
    <row r="354" spans="1:2" ht="15.75" customHeight="1">
      <c r="A354" s="11"/>
      <c r="B354" s="5"/>
    </row>
    <row r="355" spans="1:2" ht="15.75" customHeight="1">
      <c r="A355" s="11"/>
      <c r="B355" s="5"/>
    </row>
    <row r="356" spans="1:2" ht="15.75" customHeight="1">
      <c r="A356" s="11"/>
      <c r="B356" s="5"/>
    </row>
    <row r="357" spans="1:2" ht="15.75" customHeight="1">
      <c r="A357" s="11"/>
      <c r="B357" s="5"/>
    </row>
    <row r="358" spans="1:2" ht="15.75" customHeight="1">
      <c r="A358" s="11"/>
      <c r="B358" s="5"/>
    </row>
    <row r="359" spans="1:2" ht="15.75" customHeight="1">
      <c r="A359" s="11"/>
      <c r="B359" s="5"/>
    </row>
    <row r="360" spans="1:2" ht="15.75" customHeight="1">
      <c r="A360" s="11"/>
      <c r="B360" s="5"/>
    </row>
    <row r="361" spans="1:2" ht="15.75" customHeight="1">
      <c r="A361" s="11"/>
      <c r="B361" s="5"/>
    </row>
    <row r="362" spans="1:2" ht="15.75" customHeight="1">
      <c r="A362" s="11"/>
      <c r="B362" s="5"/>
    </row>
    <row r="363" spans="1:2" ht="15.75" customHeight="1">
      <c r="A363" s="11"/>
      <c r="B363" s="5"/>
    </row>
    <row r="364" spans="1:2" ht="15.75" customHeight="1">
      <c r="A364" s="11"/>
      <c r="B364" s="5"/>
    </row>
    <row r="365" spans="1:2" ht="15.75" customHeight="1">
      <c r="A365" s="11"/>
      <c r="B365" s="5"/>
    </row>
    <row r="366" spans="1:2" ht="15.75" customHeight="1">
      <c r="A366" s="11"/>
      <c r="B366" s="5"/>
    </row>
    <row r="367" spans="1:2" ht="15.75" customHeight="1">
      <c r="A367" s="11"/>
      <c r="B367" s="5"/>
    </row>
    <row r="368" spans="1:2" ht="15.75" customHeight="1">
      <c r="A368" s="11"/>
      <c r="B368" s="5"/>
    </row>
    <row r="369" spans="1:2" ht="15.75" customHeight="1">
      <c r="A369" s="11"/>
      <c r="B369" s="5"/>
    </row>
    <row r="370" spans="1:2" ht="15.75" customHeight="1">
      <c r="A370" s="11"/>
      <c r="B370" s="5"/>
    </row>
    <row r="371" spans="1:2" ht="15.75" customHeight="1">
      <c r="A371" s="11"/>
      <c r="B371" s="5"/>
    </row>
    <row r="372" spans="1:2" ht="15.75" customHeight="1">
      <c r="A372" s="11"/>
      <c r="B372" s="5"/>
    </row>
    <row r="373" spans="1:2" ht="15.75" customHeight="1">
      <c r="A373" s="11"/>
      <c r="B373" s="5"/>
    </row>
    <row r="374" spans="1:2" ht="15.75" customHeight="1">
      <c r="A374" s="11"/>
      <c r="B374" s="5"/>
    </row>
    <row r="375" spans="1:2" ht="15.75" customHeight="1">
      <c r="A375" s="11"/>
      <c r="B375" s="5"/>
    </row>
    <row r="376" spans="1:2" ht="15.75" customHeight="1">
      <c r="A376" s="11"/>
      <c r="B376" s="5"/>
    </row>
    <row r="377" spans="1:2" ht="15.75" customHeight="1">
      <c r="A377" s="11"/>
      <c r="B377" s="5"/>
    </row>
    <row r="378" spans="1:2" ht="15.75" customHeight="1">
      <c r="A378" s="11"/>
      <c r="B378" s="5"/>
    </row>
    <row r="379" spans="1:2" ht="15.75" customHeight="1">
      <c r="A379" s="11"/>
      <c r="B379" s="5"/>
    </row>
    <row r="380" spans="1:2" ht="15.75" customHeight="1">
      <c r="A380" s="11"/>
      <c r="B380" s="5"/>
    </row>
    <row r="381" spans="1:2" ht="15.75" customHeight="1">
      <c r="A381" s="11"/>
      <c r="B381" s="5"/>
    </row>
    <row r="382" spans="1:2" ht="15.75" customHeight="1">
      <c r="A382" s="11"/>
      <c r="B382" s="5"/>
    </row>
    <row r="383" spans="1:2" ht="15.75" customHeight="1">
      <c r="A383" s="11"/>
      <c r="B383" s="5"/>
    </row>
    <row r="384" spans="1:2" ht="15.75" customHeight="1">
      <c r="A384" s="11"/>
      <c r="B384" s="5"/>
    </row>
    <row r="385" spans="1:2" ht="15.75" customHeight="1">
      <c r="A385" s="11"/>
      <c r="B385" s="5"/>
    </row>
    <row r="386" spans="1:2" ht="15.75" customHeight="1">
      <c r="A386" s="11"/>
      <c r="B386" s="5"/>
    </row>
    <row r="387" spans="1:2" ht="15.75" customHeight="1">
      <c r="A387" s="11"/>
      <c r="B387" s="5"/>
    </row>
    <row r="388" spans="1:2" ht="15.75" customHeight="1">
      <c r="A388" s="11"/>
      <c r="B388" s="5"/>
    </row>
    <row r="389" spans="1:2" ht="15.75" customHeight="1">
      <c r="A389" s="11"/>
      <c r="B389" s="5"/>
    </row>
    <row r="390" spans="1:2" ht="15.75" customHeight="1">
      <c r="A390" s="11"/>
      <c r="B390" s="5"/>
    </row>
    <row r="391" spans="1:2" ht="15.75" customHeight="1">
      <c r="A391" s="11"/>
      <c r="B391" s="5"/>
    </row>
    <row r="392" spans="1:2" ht="15.75" customHeight="1">
      <c r="A392" s="11"/>
      <c r="B392" s="5"/>
    </row>
    <row r="393" spans="1:2" ht="15.75" customHeight="1">
      <c r="A393" s="11"/>
      <c r="B393" s="5"/>
    </row>
    <row r="394" spans="1:2" ht="15.75" customHeight="1">
      <c r="A394" s="11"/>
      <c r="B394" s="5"/>
    </row>
    <row r="395" spans="1:2" ht="15.75" customHeight="1">
      <c r="A395" s="11"/>
      <c r="B395" s="5"/>
    </row>
    <row r="396" spans="1:2" ht="15.75" customHeight="1">
      <c r="A396" s="11"/>
      <c r="B396" s="5"/>
    </row>
    <row r="397" spans="1:2" ht="15.75" customHeight="1">
      <c r="A397" s="11"/>
      <c r="B397" s="5"/>
    </row>
    <row r="398" spans="1:2" ht="15.75" customHeight="1">
      <c r="A398" s="11"/>
      <c r="B398" s="5"/>
    </row>
    <row r="399" spans="1:2" ht="15.75" customHeight="1">
      <c r="A399" s="11"/>
      <c r="B399" s="5"/>
    </row>
    <row r="400" spans="1:2" ht="15.75" customHeight="1">
      <c r="A400" s="11"/>
      <c r="B400" s="5"/>
    </row>
    <row r="401" spans="1:2" ht="15.75" customHeight="1">
      <c r="A401" s="11"/>
      <c r="B401" s="5"/>
    </row>
    <row r="402" spans="1:2" ht="15.75" customHeight="1">
      <c r="A402" s="11"/>
      <c r="B402" s="5"/>
    </row>
    <row r="403" spans="1:2" ht="15.75" customHeight="1">
      <c r="A403" s="11"/>
      <c r="B403" s="5"/>
    </row>
    <row r="404" spans="1:2" ht="15.75" customHeight="1">
      <c r="A404" s="11"/>
      <c r="B404" s="5"/>
    </row>
    <row r="405" spans="1:2" ht="15.75" customHeight="1">
      <c r="A405" s="11"/>
      <c r="B405" s="5"/>
    </row>
    <row r="406" spans="1:2" ht="15.75" customHeight="1">
      <c r="A406" s="11"/>
      <c r="B406" s="5"/>
    </row>
    <row r="407" spans="1:2" ht="15.75" customHeight="1">
      <c r="A407" s="11"/>
      <c r="B407" s="5"/>
    </row>
    <row r="408" spans="1:2" ht="15.75" customHeight="1">
      <c r="A408" s="11"/>
      <c r="B408" s="5"/>
    </row>
    <row r="409" spans="1:2" ht="15.75" customHeight="1">
      <c r="A409" s="11"/>
      <c r="B409" s="5"/>
    </row>
    <row r="410" spans="1:2" ht="15.75" customHeight="1">
      <c r="A410" s="11"/>
      <c r="B410" s="5"/>
    </row>
    <row r="411" spans="1:2" ht="15.75" customHeight="1">
      <c r="A411" s="11"/>
      <c r="B411" s="5"/>
    </row>
    <row r="412" spans="1:2" ht="15.75" customHeight="1">
      <c r="A412" s="11"/>
      <c r="B412" s="5"/>
    </row>
    <row r="413" spans="1:2" ht="15.75" customHeight="1">
      <c r="A413" s="11"/>
      <c r="B413" s="5"/>
    </row>
    <row r="414" spans="1:2" ht="15.75" customHeight="1">
      <c r="A414" s="11"/>
      <c r="B414" s="5"/>
    </row>
    <row r="415" spans="1:2" ht="15.75" customHeight="1">
      <c r="A415" s="11"/>
      <c r="B415" s="5"/>
    </row>
    <row r="416" spans="1:2" ht="15.75" customHeight="1">
      <c r="A416" s="11"/>
      <c r="B416" s="5"/>
    </row>
    <row r="417" spans="1:2" ht="15.75" customHeight="1">
      <c r="A417" s="11"/>
      <c r="B417" s="5"/>
    </row>
    <row r="418" spans="1:2" ht="15.75" customHeight="1">
      <c r="A418" s="11"/>
      <c r="B418" s="5"/>
    </row>
    <row r="419" spans="1:2" ht="15.75" customHeight="1">
      <c r="A419" s="11"/>
      <c r="B419" s="5"/>
    </row>
    <row r="420" spans="1:2" ht="15.75" customHeight="1">
      <c r="A420" s="11"/>
      <c r="B420" s="5"/>
    </row>
    <row r="421" spans="1:2" ht="15.75" customHeight="1">
      <c r="A421" s="11"/>
      <c r="B421" s="5"/>
    </row>
    <row r="422" spans="1:2" ht="15.75" customHeight="1">
      <c r="A422" s="11"/>
      <c r="B422" s="5"/>
    </row>
    <row r="423" spans="1:2" ht="15.75" customHeight="1">
      <c r="A423" s="11"/>
      <c r="B423" s="5"/>
    </row>
    <row r="424" spans="1:2" ht="15.75" customHeight="1">
      <c r="A424" s="11"/>
      <c r="B424" s="5"/>
    </row>
    <row r="425" spans="1:2" ht="15.75" customHeight="1">
      <c r="A425" s="11"/>
      <c r="B425" s="5"/>
    </row>
    <row r="426" spans="1:2" ht="15.75" customHeight="1">
      <c r="A426" s="11"/>
      <c r="B426" s="5"/>
    </row>
    <row r="427" spans="1:2" ht="15.75" customHeight="1">
      <c r="A427" s="11"/>
      <c r="B427" s="5"/>
    </row>
    <row r="428" spans="1:2" ht="15.75" customHeight="1">
      <c r="A428" s="11"/>
      <c r="B428" s="5"/>
    </row>
    <row r="429" spans="1:2" ht="15.75" customHeight="1">
      <c r="A429" s="11"/>
      <c r="B429" s="5"/>
    </row>
    <row r="430" spans="1:2" ht="15.75" customHeight="1">
      <c r="A430" s="11"/>
      <c r="B430" s="5"/>
    </row>
    <row r="431" spans="1:2" ht="15.75" customHeight="1">
      <c r="A431" s="11"/>
      <c r="B431" s="5"/>
    </row>
    <row r="432" spans="1:2" ht="15.75" customHeight="1">
      <c r="A432" s="11"/>
      <c r="B432" s="5"/>
    </row>
    <row r="433" spans="1:2" ht="15.75" customHeight="1">
      <c r="A433" s="11"/>
      <c r="B433" s="5"/>
    </row>
    <row r="434" spans="1:2" ht="15.75" customHeight="1">
      <c r="A434" s="11"/>
      <c r="B434" s="5"/>
    </row>
    <row r="435" spans="1:2" ht="15.75" customHeight="1">
      <c r="A435" s="11"/>
      <c r="B435" s="5"/>
    </row>
    <row r="436" spans="1:2" ht="15.75" customHeight="1">
      <c r="A436" s="11"/>
      <c r="B436" s="5"/>
    </row>
    <row r="437" spans="1:2" ht="15.75" customHeight="1">
      <c r="A437" s="11"/>
      <c r="B437" s="5"/>
    </row>
    <row r="438" spans="1:2" ht="15.75" customHeight="1">
      <c r="A438" s="11"/>
      <c r="B438" s="5"/>
    </row>
    <row r="439" spans="1:2" ht="15.75" customHeight="1">
      <c r="A439" s="11"/>
      <c r="B439" s="5"/>
    </row>
    <row r="440" spans="1:2" ht="15.75" customHeight="1">
      <c r="A440" s="11"/>
      <c r="B440" s="5"/>
    </row>
    <row r="441" spans="1:2" ht="15.75" customHeight="1">
      <c r="A441" s="11"/>
      <c r="B441" s="5"/>
    </row>
    <row r="442" spans="1:2" ht="15.75" customHeight="1">
      <c r="A442" s="11"/>
      <c r="B442" s="5"/>
    </row>
    <row r="443" spans="1:2" ht="15.75" customHeight="1">
      <c r="A443" s="11"/>
      <c r="B443" s="5"/>
    </row>
    <row r="444" spans="1:2" ht="15.75" customHeight="1">
      <c r="A444" s="11"/>
      <c r="B444" s="5"/>
    </row>
    <row r="445" spans="1:2" ht="15.75" customHeight="1">
      <c r="A445" s="11"/>
      <c r="B445" s="5"/>
    </row>
    <row r="446" spans="1:2" ht="15.75" customHeight="1">
      <c r="A446" s="11"/>
      <c r="B446" s="5"/>
    </row>
    <row r="447" spans="1:2" ht="15.75" customHeight="1">
      <c r="A447" s="11"/>
      <c r="B447" s="5"/>
    </row>
    <row r="448" spans="1:2" ht="15.75" customHeight="1">
      <c r="A448" s="11"/>
      <c r="B448" s="5"/>
    </row>
    <row r="449" spans="1:2" ht="15.75" customHeight="1">
      <c r="A449" s="11"/>
      <c r="B449" s="5"/>
    </row>
    <row r="450" spans="1:2" ht="15.75" customHeight="1">
      <c r="A450" s="11"/>
      <c r="B450" s="5"/>
    </row>
    <row r="451" spans="1:2" ht="15.75" customHeight="1">
      <c r="A451" s="11"/>
      <c r="B451" s="5"/>
    </row>
    <row r="452" spans="1:2" ht="15.75" customHeight="1">
      <c r="A452" s="11"/>
      <c r="B452" s="5"/>
    </row>
    <row r="453" spans="1:2" ht="15.75" customHeight="1">
      <c r="A453" s="11"/>
      <c r="B453" s="5"/>
    </row>
    <row r="454" spans="1:2" ht="15.75" customHeight="1">
      <c r="A454" s="11"/>
      <c r="B454" s="5"/>
    </row>
    <row r="455" spans="1:2" ht="15.75" customHeight="1">
      <c r="A455" s="11"/>
      <c r="B455" s="5"/>
    </row>
    <row r="456" spans="1:2" ht="15.75" customHeight="1">
      <c r="A456" s="11"/>
      <c r="B456" s="5"/>
    </row>
    <row r="457" spans="1:2" ht="15.75" customHeight="1">
      <c r="A457" s="11"/>
      <c r="B457" s="5"/>
    </row>
    <row r="458" spans="1:2" ht="15.75" customHeight="1">
      <c r="A458" s="11"/>
      <c r="B458" s="5"/>
    </row>
    <row r="459" spans="1:2" ht="15.75" customHeight="1">
      <c r="A459" s="11"/>
      <c r="B459" s="5"/>
    </row>
    <row r="460" spans="1:2" ht="15.75" customHeight="1">
      <c r="A460" s="11"/>
      <c r="B460" s="5"/>
    </row>
    <row r="461" spans="1:2" ht="15.75" customHeight="1">
      <c r="A461" s="11"/>
      <c r="B461" s="5"/>
    </row>
    <row r="462" spans="1:2" ht="15.75" customHeight="1">
      <c r="A462" s="11"/>
      <c r="B462" s="5"/>
    </row>
    <row r="463" spans="1:2" ht="15.75" customHeight="1">
      <c r="A463" s="11"/>
      <c r="B463" s="5"/>
    </row>
    <row r="464" spans="1:2" ht="15.75" customHeight="1">
      <c r="A464" s="11"/>
      <c r="B464" s="5"/>
    </row>
    <row r="465" spans="1:2" ht="15.75" customHeight="1">
      <c r="A465" s="11"/>
      <c r="B465" s="5"/>
    </row>
    <row r="466" spans="1:2" ht="15.75" customHeight="1">
      <c r="A466" s="11"/>
      <c r="B466" s="5"/>
    </row>
    <row r="467" spans="1:2" ht="15.75" customHeight="1">
      <c r="A467" s="11"/>
      <c r="B467" s="5"/>
    </row>
    <row r="468" spans="1:2" ht="15.75" customHeight="1">
      <c r="A468" s="11"/>
      <c r="B468" s="5"/>
    </row>
    <row r="469" spans="1:2" ht="15.75" customHeight="1">
      <c r="A469" s="11"/>
      <c r="B469" s="5"/>
    </row>
    <row r="470" spans="1:2" ht="15.75" customHeight="1">
      <c r="A470" s="11"/>
      <c r="B470" s="5"/>
    </row>
    <row r="471" spans="1:2" ht="15.75" customHeight="1">
      <c r="A471" s="11"/>
      <c r="B471" s="5"/>
    </row>
    <row r="472" spans="1:2" ht="15.75" customHeight="1">
      <c r="A472" s="11"/>
      <c r="B472" s="5"/>
    </row>
    <row r="473" spans="1:2" ht="15.75" customHeight="1">
      <c r="A473" s="11"/>
      <c r="B473" s="5"/>
    </row>
    <row r="474" spans="1:2" ht="15.75" customHeight="1">
      <c r="A474" s="11"/>
      <c r="B474" s="5"/>
    </row>
    <row r="475" spans="1:2" ht="15.75" customHeight="1">
      <c r="A475" s="11"/>
      <c r="B475" s="5"/>
    </row>
    <row r="476" spans="1:2" ht="15.75" customHeight="1">
      <c r="A476" s="11"/>
      <c r="B476" s="5"/>
    </row>
    <row r="477" spans="1:2" ht="15.75" customHeight="1">
      <c r="A477" s="11"/>
      <c r="B477" s="5"/>
    </row>
    <row r="478" spans="1:2" ht="15.75" customHeight="1">
      <c r="A478" s="11"/>
      <c r="B478" s="5"/>
    </row>
    <row r="479" spans="1:2" ht="15.75" customHeight="1">
      <c r="A479" s="11"/>
      <c r="B479" s="5"/>
    </row>
    <row r="480" spans="1:2" ht="15.75" customHeight="1">
      <c r="A480" s="11"/>
      <c r="B480" s="5"/>
    </row>
    <row r="481" spans="1:2" ht="15.75" customHeight="1">
      <c r="A481" s="11"/>
      <c r="B481" s="5"/>
    </row>
    <row r="482" spans="1:2" ht="15.75" customHeight="1">
      <c r="A482" s="11"/>
      <c r="B482" s="5"/>
    </row>
    <row r="483" spans="1:2" ht="15.75" customHeight="1">
      <c r="A483" s="11"/>
      <c r="B483" s="5"/>
    </row>
    <row r="484" spans="1:2" ht="15.75" customHeight="1">
      <c r="A484" s="11"/>
      <c r="B484" s="5"/>
    </row>
    <row r="485" spans="1:2" ht="15.75" customHeight="1">
      <c r="A485" s="11"/>
      <c r="B485" s="5"/>
    </row>
    <row r="486" spans="1:2" ht="15.75" customHeight="1">
      <c r="A486" s="11"/>
      <c r="B486" s="5"/>
    </row>
    <row r="487" spans="1:2" ht="15.75" customHeight="1">
      <c r="A487" s="11"/>
      <c r="B487" s="5"/>
    </row>
    <row r="488" spans="1:2" ht="15.75" customHeight="1">
      <c r="A488" s="11"/>
      <c r="B488" s="5"/>
    </row>
    <row r="489" spans="1:2" ht="15.75" customHeight="1">
      <c r="A489" s="11"/>
      <c r="B489" s="5"/>
    </row>
    <row r="490" spans="1:2" ht="15.75" customHeight="1">
      <c r="A490" s="11"/>
      <c r="B490" s="5"/>
    </row>
    <row r="491" spans="1:2" ht="15.75" customHeight="1">
      <c r="A491" s="11"/>
      <c r="B491" s="5"/>
    </row>
    <row r="492" spans="1:2" ht="15.75" customHeight="1">
      <c r="A492" s="11"/>
      <c r="B492" s="5"/>
    </row>
    <row r="493" spans="1:2" ht="15.75" customHeight="1">
      <c r="A493" s="11"/>
      <c r="B493" s="5"/>
    </row>
    <row r="494" spans="1:2" ht="15.75" customHeight="1">
      <c r="A494" s="11"/>
      <c r="B494" s="5"/>
    </row>
    <row r="495" spans="1:2" ht="15.75" customHeight="1">
      <c r="A495" s="11"/>
      <c r="B495" s="5"/>
    </row>
    <row r="496" spans="1:2" ht="15.75" customHeight="1">
      <c r="A496" s="11"/>
      <c r="B496" s="5"/>
    </row>
    <row r="497" spans="1:2" ht="15.75" customHeight="1">
      <c r="A497" s="11"/>
      <c r="B497" s="5"/>
    </row>
    <row r="498" spans="1:2" ht="15.75" customHeight="1">
      <c r="A498" s="11"/>
      <c r="B498" s="5"/>
    </row>
    <row r="499" spans="1:2" ht="15.75" customHeight="1">
      <c r="A499" s="11"/>
      <c r="B499" s="5"/>
    </row>
    <row r="500" spans="1:2" ht="15.75" customHeight="1">
      <c r="A500" s="11"/>
      <c r="B500" s="5"/>
    </row>
    <row r="501" spans="1:2" ht="15.75" customHeight="1">
      <c r="A501" s="11"/>
      <c r="B501" s="5"/>
    </row>
    <row r="502" spans="1:2" ht="15.75" customHeight="1">
      <c r="A502" s="11"/>
      <c r="B502" s="5"/>
    </row>
    <row r="503" spans="1:2" ht="15.75" customHeight="1">
      <c r="A503" s="11"/>
      <c r="B503" s="5"/>
    </row>
    <row r="504" spans="1:2" ht="15.75" customHeight="1">
      <c r="A504" s="11"/>
      <c r="B504" s="5"/>
    </row>
    <row r="505" spans="1:2" ht="15.75" customHeight="1">
      <c r="A505" s="11"/>
      <c r="B505" s="5"/>
    </row>
    <row r="506" spans="1:2" ht="15.75" customHeight="1">
      <c r="A506" s="11"/>
      <c r="B506" s="5"/>
    </row>
    <row r="507" spans="1:2" ht="15.75" customHeight="1">
      <c r="A507" s="11"/>
      <c r="B507" s="5"/>
    </row>
    <row r="508" spans="1:2" ht="15.75" customHeight="1">
      <c r="A508" s="11"/>
      <c r="B508" s="5"/>
    </row>
    <row r="509" spans="1:2" ht="15.75" customHeight="1">
      <c r="A509" s="11"/>
      <c r="B509" s="5"/>
    </row>
    <row r="510" spans="1:2" ht="15.75" customHeight="1">
      <c r="A510" s="11"/>
      <c r="B510" s="5"/>
    </row>
    <row r="511" spans="1:2" ht="15.75" customHeight="1">
      <c r="A511" s="11"/>
      <c r="B511" s="5"/>
    </row>
    <row r="512" spans="1:2" ht="15.75" customHeight="1">
      <c r="A512" s="11"/>
      <c r="B512" s="5"/>
    </row>
    <row r="513" spans="1:2" ht="15.75" customHeight="1">
      <c r="A513" s="11"/>
      <c r="B513" s="5"/>
    </row>
    <row r="514" spans="1:2" ht="15.75" customHeight="1">
      <c r="A514" s="11"/>
      <c r="B514" s="5"/>
    </row>
    <row r="515" spans="1:2" ht="15.75" customHeight="1">
      <c r="A515" s="11"/>
      <c r="B515" s="5"/>
    </row>
    <row r="516" spans="1:2" ht="15.75" customHeight="1">
      <c r="A516" s="11"/>
      <c r="B516" s="5"/>
    </row>
    <row r="517" spans="1:2" ht="15.75" customHeight="1">
      <c r="A517" s="11"/>
      <c r="B517" s="5"/>
    </row>
    <row r="518" spans="1:2" ht="15.75" customHeight="1">
      <c r="A518" s="11"/>
      <c r="B518" s="5"/>
    </row>
    <row r="519" spans="1:2" ht="15.75" customHeight="1">
      <c r="A519" s="11"/>
      <c r="B519" s="5"/>
    </row>
    <row r="520" spans="1:2" ht="15.75" customHeight="1">
      <c r="A520" s="11"/>
      <c r="B520" s="5"/>
    </row>
    <row r="521" spans="1:2" ht="15.75" customHeight="1">
      <c r="A521" s="11"/>
      <c r="B521" s="5"/>
    </row>
    <row r="522" spans="1:2" ht="15.75" customHeight="1">
      <c r="A522" s="11"/>
      <c r="B522" s="5"/>
    </row>
    <row r="523" spans="1:2" ht="15.75" customHeight="1">
      <c r="A523" s="11"/>
      <c r="B523" s="5"/>
    </row>
    <row r="524" spans="1:2" ht="15.75" customHeight="1">
      <c r="A524" s="11"/>
      <c r="B524" s="5"/>
    </row>
    <row r="525" spans="1:2" ht="15.75" customHeight="1">
      <c r="A525" s="11"/>
      <c r="B525" s="5"/>
    </row>
    <row r="526" spans="1:2" ht="15.75" customHeight="1">
      <c r="A526" s="11"/>
      <c r="B526" s="5"/>
    </row>
    <row r="527" spans="1:2" ht="15.75" customHeight="1">
      <c r="A527" s="11"/>
      <c r="B527" s="5"/>
    </row>
    <row r="528" spans="1:2" ht="15.75" customHeight="1">
      <c r="A528" s="11"/>
      <c r="B528" s="5"/>
    </row>
    <row r="529" spans="1:2" ht="15.75" customHeight="1">
      <c r="A529" s="11"/>
      <c r="B529" s="5"/>
    </row>
    <row r="530" spans="1:2" ht="15.75" customHeight="1">
      <c r="A530" s="11"/>
      <c r="B530" s="5"/>
    </row>
    <row r="531" spans="1:2" ht="15.75" customHeight="1">
      <c r="A531" s="11"/>
      <c r="B531" s="5"/>
    </row>
    <row r="532" spans="1:2" ht="15.75" customHeight="1">
      <c r="A532" s="11"/>
      <c r="B532" s="5"/>
    </row>
    <row r="533" spans="1:2" ht="15.75" customHeight="1">
      <c r="A533" s="11"/>
      <c r="B533" s="5"/>
    </row>
    <row r="534" spans="1:2" ht="15.75" customHeight="1">
      <c r="A534" s="11"/>
      <c r="B534" s="5"/>
    </row>
    <row r="535" spans="1:2" ht="15.75" customHeight="1">
      <c r="A535" s="11"/>
      <c r="B535" s="5"/>
    </row>
    <row r="536" spans="1:2" ht="15.75" customHeight="1">
      <c r="A536" s="11"/>
      <c r="B536" s="5"/>
    </row>
    <row r="537" spans="1:2" ht="15.75" customHeight="1">
      <c r="A537" s="11"/>
      <c r="B537" s="5"/>
    </row>
    <row r="538" spans="1:2" ht="15.75" customHeight="1">
      <c r="A538" s="11"/>
      <c r="B538" s="5"/>
    </row>
    <row r="539" spans="1:2" ht="15.75" customHeight="1">
      <c r="A539" s="11"/>
      <c r="B539" s="5"/>
    </row>
    <row r="540" spans="1:2" ht="15.75" customHeight="1">
      <c r="A540" s="11"/>
      <c r="B540" s="5"/>
    </row>
    <row r="541" spans="1:2" ht="15.75" customHeight="1">
      <c r="A541" s="11"/>
      <c r="B541" s="5"/>
    </row>
    <row r="542" spans="1:2" ht="15.75" customHeight="1">
      <c r="A542" s="11"/>
      <c r="B542" s="5"/>
    </row>
    <row r="543" spans="1:2" ht="15.75" customHeight="1">
      <c r="A543" s="11"/>
      <c r="B543" s="5"/>
    </row>
    <row r="544" spans="1:2" ht="15.75" customHeight="1">
      <c r="A544" s="11"/>
      <c r="B544" s="5"/>
    </row>
    <row r="545" spans="1:2" ht="15.75" customHeight="1">
      <c r="A545" s="11"/>
      <c r="B545" s="5"/>
    </row>
    <row r="546" spans="1:2" ht="15.75" customHeight="1">
      <c r="A546" s="11"/>
      <c r="B546" s="5"/>
    </row>
    <row r="547" spans="1:2" ht="15.75" customHeight="1">
      <c r="A547" s="11"/>
      <c r="B547" s="5"/>
    </row>
    <row r="548" spans="1:2" ht="15.75" customHeight="1">
      <c r="A548" s="11"/>
      <c r="B548" s="5"/>
    </row>
    <row r="549" spans="1:2" ht="15.75" customHeight="1">
      <c r="A549" s="11"/>
      <c r="B549" s="5"/>
    </row>
    <row r="550" spans="1:2" ht="15.75" customHeight="1">
      <c r="A550" s="11"/>
      <c r="B550" s="5"/>
    </row>
    <row r="551" spans="1:2" ht="15.75" customHeight="1">
      <c r="A551" s="11"/>
      <c r="B551" s="5"/>
    </row>
    <row r="552" spans="1:2" ht="15.75" customHeight="1">
      <c r="A552" s="11"/>
      <c r="B552" s="5"/>
    </row>
    <row r="553" spans="1:2" ht="15.75" customHeight="1">
      <c r="A553" s="11"/>
      <c r="B553" s="5"/>
    </row>
    <row r="554" spans="1:2" ht="15.75" customHeight="1">
      <c r="A554" s="11"/>
      <c r="B554" s="5"/>
    </row>
    <row r="555" spans="1:2" ht="15.75" customHeight="1">
      <c r="A555" s="11"/>
      <c r="B555" s="5"/>
    </row>
    <row r="556" spans="1:2" ht="15.75" customHeight="1">
      <c r="A556" s="11"/>
      <c r="B556" s="5"/>
    </row>
    <row r="557" spans="1:2" ht="15.75" customHeight="1">
      <c r="A557" s="11"/>
      <c r="B557" s="5"/>
    </row>
    <row r="558" spans="1:2" ht="15.75" customHeight="1">
      <c r="A558" s="11"/>
      <c r="B558" s="5"/>
    </row>
    <row r="559" spans="1:2" ht="15.75" customHeight="1">
      <c r="A559" s="11"/>
      <c r="B559" s="5"/>
    </row>
    <row r="560" spans="1:2" ht="15.75" customHeight="1">
      <c r="A560" s="11"/>
      <c r="B560" s="5"/>
    </row>
    <row r="561" spans="1:2" ht="15.75" customHeight="1">
      <c r="A561" s="11"/>
      <c r="B561" s="5"/>
    </row>
    <row r="562" spans="1:2" ht="15.75" customHeight="1">
      <c r="A562" s="11"/>
      <c r="B562" s="5"/>
    </row>
    <row r="563" spans="1:2" ht="15.75" customHeight="1">
      <c r="A563" s="11"/>
      <c r="B563" s="5"/>
    </row>
    <row r="564" spans="1:2" ht="15.75" customHeight="1">
      <c r="A564" s="11"/>
      <c r="B564" s="5"/>
    </row>
    <row r="565" spans="1:2" ht="15.75" customHeight="1">
      <c r="A565" s="11"/>
      <c r="B565" s="5"/>
    </row>
    <row r="566" spans="1:2" ht="15.75" customHeight="1">
      <c r="A566" s="11"/>
      <c r="B566" s="5"/>
    </row>
    <row r="567" spans="1:2" ht="15.75" customHeight="1">
      <c r="A567" s="11"/>
      <c r="B567" s="5"/>
    </row>
    <row r="568" spans="1:2" ht="15.75" customHeight="1">
      <c r="A568" s="11"/>
      <c r="B568" s="5"/>
    </row>
    <row r="569" spans="1:2" ht="15.75" customHeight="1">
      <c r="A569" s="11"/>
      <c r="B569" s="5"/>
    </row>
    <row r="570" spans="1:2" ht="15.75" customHeight="1">
      <c r="A570" s="11"/>
      <c r="B570" s="5"/>
    </row>
    <row r="571" spans="1:2" ht="15.75" customHeight="1">
      <c r="A571" s="11"/>
      <c r="B571" s="5"/>
    </row>
    <row r="572" spans="1:2" ht="15.75" customHeight="1">
      <c r="A572" s="11"/>
      <c r="B572" s="5"/>
    </row>
    <row r="573" spans="1:2" ht="15.75" customHeight="1">
      <c r="A573" s="11"/>
      <c r="B573" s="5"/>
    </row>
    <row r="574" spans="1:2" ht="15.75" customHeight="1">
      <c r="A574" s="11"/>
      <c r="B574" s="5"/>
    </row>
    <row r="575" spans="1:2" ht="15.75" customHeight="1">
      <c r="A575" s="11"/>
      <c r="B575" s="5"/>
    </row>
    <row r="576" spans="1:2" ht="15.75" customHeight="1">
      <c r="A576" s="11"/>
      <c r="B576" s="5"/>
    </row>
    <row r="577" spans="1:2" ht="15.75" customHeight="1">
      <c r="A577" s="11"/>
      <c r="B577" s="5"/>
    </row>
    <row r="578" spans="1:2" ht="15.75" customHeight="1">
      <c r="A578" s="11"/>
      <c r="B578" s="5"/>
    </row>
    <row r="579" spans="1:2" ht="15.75" customHeight="1">
      <c r="A579" s="11"/>
      <c r="B579" s="5"/>
    </row>
    <row r="580" spans="1:2" ht="15.75" customHeight="1">
      <c r="A580" s="11"/>
      <c r="B580" s="5"/>
    </row>
    <row r="581" spans="1:2" ht="15.75" customHeight="1">
      <c r="A581" s="11"/>
      <c r="B581" s="5"/>
    </row>
    <row r="582" spans="1:2" ht="15.75" customHeight="1">
      <c r="A582" s="11"/>
      <c r="B582" s="5"/>
    </row>
    <row r="583" spans="1:2" ht="15.75" customHeight="1">
      <c r="A583" s="11"/>
      <c r="B583" s="5"/>
    </row>
    <row r="584" spans="1:2" ht="15.75" customHeight="1">
      <c r="A584" s="11"/>
      <c r="B584" s="5"/>
    </row>
    <row r="585" spans="1:2" ht="15.75" customHeight="1">
      <c r="A585" s="11"/>
      <c r="B585" s="5"/>
    </row>
    <row r="586" spans="1:2" ht="15.75" customHeight="1">
      <c r="A586" s="11"/>
      <c r="B586" s="5"/>
    </row>
    <row r="587" spans="1:2" ht="15.75" customHeight="1">
      <c r="A587" s="11"/>
      <c r="B587" s="5"/>
    </row>
    <row r="588" spans="1:2" ht="15.75" customHeight="1">
      <c r="A588" s="11"/>
      <c r="B588" s="5"/>
    </row>
    <row r="589" spans="1:2" ht="15.75" customHeight="1">
      <c r="A589" s="11"/>
      <c r="B589" s="5"/>
    </row>
    <row r="590" spans="1:2" ht="15.75" customHeight="1">
      <c r="A590" s="11"/>
      <c r="B590" s="5"/>
    </row>
    <row r="591" spans="1:2" ht="15.75" customHeight="1">
      <c r="A591" s="11"/>
      <c r="B591" s="5"/>
    </row>
    <row r="592" spans="1:2" ht="15.75" customHeight="1">
      <c r="A592" s="11"/>
      <c r="B592" s="5"/>
    </row>
    <row r="593" spans="1:2" ht="15.75" customHeight="1">
      <c r="A593" s="11"/>
      <c r="B593" s="5"/>
    </row>
    <row r="594" spans="1:2" ht="15.75" customHeight="1">
      <c r="A594" s="11"/>
      <c r="B594" s="5"/>
    </row>
    <row r="595" spans="1:2" ht="15.75" customHeight="1">
      <c r="A595" s="11"/>
      <c r="B595" s="5"/>
    </row>
    <row r="596" spans="1:2" ht="15.75" customHeight="1">
      <c r="A596" s="11"/>
      <c r="B596" s="5"/>
    </row>
    <row r="597" spans="1:2" ht="15.75" customHeight="1">
      <c r="A597" s="11"/>
      <c r="B597" s="5"/>
    </row>
    <row r="598" spans="1:2" ht="15.75" customHeight="1">
      <c r="A598" s="11"/>
      <c r="B598" s="5"/>
    </row>
    <row r="599" spans="1:2" ht="15.75" customHeight="1">
      <c r="A599" s="11"/>
      <c r="B599" s="5"/>
    </row>
    <row r="600" spans="1:2" ht="15.75" customHeight="1">
      <c r="A600" s="11"/>
      <c r="B600" s="5"/>
    </row>
    <row r="601" spans="1:2" ht="15.75" customHeight="1">
      <c r="A601" s="11"/>
      <c r="B601" s="5"/>
    </row>
    <row r="602" spans="1:2" ht="15.75" customHeight="1">
      <c r="A602" s="11"/>
      <c r="B602" s="5"/>
    </row>
    <row r="603" spans="1:2" ht="15.75" customHeight="1">
      <c r="A603" s="11"/>
      <c r="B603" s="5"/>
    </row>
    <row r="604" spans="1:2" ht="15.75" customHeight="1">
      <c r="A604" s="11"/>
      <c r="B604" s="5"/>
    </row>
    <row r="605" spans="1:2" ht="15.75" customHeight="1">
      <c r="A605" s="11"/>
      <c r="B605" s="5"/>
    </row>
    <row r="606" spans="1:2" ht="15.75" customHeight="1">
      <c r="A606" s="11"/>
      <c r="B606" s="5"/>
    </row>
    <row r="607" spans="1:2" ht="15.75" customHeight="1">
      <c r="A607" s="11"/>
      <c r="B607" s="5"/>
    </row>
    <row r="608" spans="1:2" ht="15.75" customHeight="1">
      <c r="A608" s="11"/>
      <c r="B608" s="5"/>
    </row>
    <row r="609" spans="1:2" ht="15.75" customHeight="1">
      <c r="A609" s="11"/>
      <c r="B609" s="5"/>
    </row>
    <row r="610" spans="1:2" ht="15.75" customHeight="1">
      <c r="A610" s="11"/>
      <c r="B610" s="5"/>
    </row>
    <row r="611" spans="1:2" ht="15.75" customHeight="1">
      <c r="A611" s="11"/>
      <c r="B611" s="5"/>
    </row>
    <row r="612" spans="1:2" ht="15.75" customHeight="1">
      <c r="A612" s="11"/>
      <c r="B612" s="5"/>
    </row>
    <row r="613" spans="1:2" ht="15.75" customHeight="1">
      <c r="A613" s="11"/>
      <c r="B613" s="5"/>
    </row>
    <row r="614" spans="1:2" ht="15.75" customHeight="1">
      <c r="A614" s="11"/>
      <c r="B614" s="5"/>
    </row>
    <row r="615" spans="1:2" ht="15.75" customHeight="1">
      <c r="A615" s="11"/>
      <c r="B615" s="5"/>
    </row>
    <row r="616" spans="1:2" ht="15.75" customHeight="1">
      <c r="A616" s="11"/>
      <c r="B616" s="5"/>
    </row>
    <row r="617" spans="1:2" ht="15.75" customHeight="1">
      <c r="A617" s="11"/>
      <c r="B617" s="5"/>
    </row>
    <row r="618" spans="1:2" ht="15.75" customHeight="1">
      <c r="A618" s="11"/>
      <c r="B618" s="5"/>
    </row>
    <row r="619" spans="1:2" ht="15.75" customHeight="1">
      <c r="A619" s="11"/>
      <c r="B619" s="5"/>
    </row>
    <row r="620" spans="1:2" ht="15.75" customHeight="1">
      <c r="A620" s="11"/>
      <c r="B620" s="5"/>
    </row>
    <row r="621" spans="1:2" ht="15.75" customHeight="1">
      <c r="A621" s="11"/>
      <c r="B621" s="5"/>
    </row>
    <row r="622" spans="1:2" ht="15.75" customHeight="1">
      <c r="A622" s="11"/>
      <c r="B622" s="5"/>
    </row>
    <row r="623" spans="1:2" ht="15.75" customHeight="1">
      <c r="A623" s="11"/>
      <c r="B623" s="5"/>
    </row>
    <row r="624" spans="1:2" ht="15.75" customHeight="1">
      <c r="A624" s="11"/>
      <c r="B624" s="5"/>
    </row>
    <row r="625" spans="1:2" ht="15.75" customHeight="1">
      <c r="A625" s="11"/>
      <c r="B625" s="5"/>
    </row>
    <row r="626" spans="1:2" ht="15.75" customHeight="1">
      <c r="A626" s="11"/>
      <c r="B626" s="5"/>
    </row>
    <row r="627" spans="1:2" ht="15.75" customHeight="1">
      <c r="A627" s="11"/>
      <c r="B627" s="5"/>
    </row>
    <row r="628" spans="1:2" ht="15.75" customHeight="1">
      <c r="A628" s="11"/>
      <c r="B628" s="5"/>
    </row>
    <row r="629" spans="1:2" ht="15.75" customHeight="1">
      <c r="A629" s="11"/>
      <c r="B629" s="5"/>
    </row>
    <row r="630" spans="1:2" ht="15.75" customHeight="1">
      <c r="A630" s="11"/>
      <c r="B630" s="5"/>
    </row>
    <row r="631" spans="1:2" ht="15.75" customHeight="1">
      <c r="A631" s="11"/>
      <c r="B631" s="5"/>
    </row>
    <row r="632" spans="1:2" ht="15.75" customHeight="1">
      <c r="A632" s="11"/>
      <c r="B632" s="5"/>
    </row>
    <row r="633" spans="1:2" ht="15.75" customHeight="1">
      <c r="A633" s="11"/>
      <c r="B633" s="5"/>
    </row>
    <row r="634" spans="1:2" ht="15.75" customHeight="1">
      <c r="A634" s="11"/>
      <c r="B634" s="5"/>
    </row>
    <row r="635" spans="1:2" ht="15.75" customHeight="1">
      <c r="A635" s="11"/>
      <c r="B635" s="5"/>
    </row>
    <row r="636" spans="1:2" ht="15.75" customHeight="1">
      <c r="A636" s="11"/>
      <c r="B636" s="5"/>
    </row>
    <row r="637" spans="1:2" ht="15.75" customHeight="1">
      <c r="A637" s="11"/>
      <c r="B637" s="5"/>
    </row>
    <row r="638" spans="1:2" ht="15.75" customHeight="1">
      <c r="A638" s="11"/>
      <c r="B638" s="5"/>
    </row>
    <row r="639" spans="1:2" ht="15.75" customHeight="1">
      <c r="A639" s="11"/>
      <c r="B639" s="5"/>
    </row>
    <row r="640" spans="1:2" ht="15.75" customHeight="1">
      <c r="A640" s="11"/>
      <c r="B640" s="5"/>
    </row>
    <row r="641" spans="1:2" ht="15.75" customHeight="1">
      <c r="A641" s="11"/>
      <c r="B641" s="5"/>
    </row>
    <row r="642" spans="1:2" ht="15.75" customHeight="1">
      <c r="A642" s="11"/>
      <c r="B642" s="5"/>
    </row>
    <row r="643" spans="1:2" ht="15.75" customHeight="1">
      <c r="A643" s="11"/>
      <c r="B643" s="5"/>
    </row>
    <row r="644" spans="1:2" ht="15.75" customHeight="1">
      <c r="A644" s="11"/>
      <c r="B644" s="5"/>
    </row>
    <row r="645" spans="1:2" ht="15.75" customHeight="1">
      <c r="A645" s="11"/>
      <c r="B645" s="5"/>
    </row>
    <row r="646" spans="1:2" ht="15.75" customHeight="1">
      <c r="A646" s="11"/>
      <c r="B646" s="5"/>
    </row>
    <row r="647" spans="1:2" ht="15.75" customHeight="1">
      <c r="A647" s="11"/>
      <c r="B647" s="5"/>
    </row>
    <row r="648" spans="1:2" ht="15.75" customHeight="1">
      <c r="A648" s="11"/>
      <c r="B648" s="5"/>
    </row>
    <row r="649" spans="1:2" ht="15.75" customHeight="1">
      <c r="A649" s="11"/>
      <c r="B649" s="5"/>
    </row>
    <row r="650" spans="1:2" ht="15.75" customHeight="1">
      <c r="A650" s="11"/>
      <c r="B650" s="5"/>
    </row>
    <row r="651" spans="1:2" ht="15.75" customHeight="1">
      <c r="A651" s="11"/>
      <c r="B651" s="5"/>
    </row>
    <row r="652" spans="1:2" ht="15.75" customHeight="1">
      <c r="A652" s="11"/>
      <c r="B652" s="5"/>
    </row>
    <row r="653" spans="1:2" ht="15.75" customHeight="1">
      <c r="A653" s="11"/>
      <c r="B653" s="5"/>
    </row>
    <row r="654" spans="1:2" ht="15.75" customHeight="1">
      <c r="A654" s="11"/>
      <c r="B654" s="5"/>
    </row>
    <row r="655" spans="1:2" ht="15.75" customHeight="1">
      <c r="A655" s="11"/>
      <c r="B655" s="5"/>
    </row>
    <row r="656" spans="1:2" ht="15.75" customHeight="1">
      <c r="A656" s="11"/>
      <c r="B656" s="5"/>
    </row>
    <row r="657" spans="1:2" ht="15.75" customHeight="1">
      <c r="A657" s="11"/>
      <c r="B657" s="5"/>
    </row>
    <row r="658" spans="1:2" ht="15.75" customHeight="1">
      <c r="A658" s="11"/>
      <c r="B658" s="5"/>
    </row>
    <row r="659" spans="1:2" ht="15.75" customHeight="1">
      <c r="A659" s="11"/>
      <c r="B659" s="5"/>
    </row>
    <row r="660" spans="1:2" ht="15.75" customHeight="1">
      <c r="A660" s="11"/>
      <c r="B660" s="5"/>
    </row>
    <row r="661" spans="1:2" ht="15.75" customHeight="1">
      <c r="A661" s="11"/>
      <c r="B661" s="5"/>
    </row>
    <row r="662" spans="1:2" ht="15.75" customHeight="1">
      <c r="A662" s="11"/>
      <c r="B662" s="5"/>
    </row>
    <row r="663" spans="1:2" ht="15.75" customHeight="1">
      <c r="A663" s="11"/>
      <c r="B663" s="5"/>
    </row>
    <row r="664" spans="1:2" ht="15.75" customHeight="1">
      <c r="A664" s="11"/>
      <c r="B664" s="5"/>
    </row>
    <row r="665" spans="1:2" ht="15.75" customHeight="1">
      <c r="A665" s="11"/>
      <c r="B665" s="5"/>
    </row>
    <row r="666" spans="1:2" ht="15.75" customHeight="1">
      <c r="A666" s="11"/>
      <c r="B666" s="5"/>
    </row>
    <row r="667" spans="1:2" ht="15.75" customHeight="1">
      <c r="A667" s="11"/>
      <c r="B667" s="5"/>
    </row>
    <row r="668" spans="1:2" ht="15.75" customHeight="1">
      <c r="A668" s="11"/>
      <c r="B668" s="5"/>
    </row>
    <row r="669" spans="1:2" ht="15.75" customHeight="1">
      <c r="A669" s="11"/>
      <c r="B669" s="5"/>
    </row>
    <row r="670" spans="1:2" ht="15.75" customHeight="1">
      <c r="A670" s="11"/>
      <c r="B670" s="5"/>
    </row>
    <row r="671" spans="1:2" ht="15.75" customHeight="1">
      <c r="A671" s="11"/>
      <c r="B671" s="5"/>
    </row>
    <row r="672" spans="1:2" ht="15.75" customHeight="1">
      <c r="A672" s="11"/>
      <c r="B672" s="5"/>
    </row>
    <row r="673" spans="1:2" ht="15.75" customHeight="1">
      <c r="A673" s="11"/>
      <c r="B673" s="5"/>
    </row>
    <row r="674" spans="1:2" ht="15.75" customHeight="1">
      <c r="A674" s="11"/>
      <c r="B674" s="5"/>
    </row>
    <row r="675" spans="1:2" ht="15.75" customHeight="1">
      <c r="A675" s="11"/>
      <c r="B675" s="5"/>
    </row>
    <row r="676" spans="1:2" ht="15.75" customHeight="1">
      <c r="A676" s="11"/>
      <c r="B676" s="5"/>
    </row>
    <row r="677" spans="1:2" ht="15.75" customHeight="1">
      <c r="A677" s="11"/>
      <c r="B677" s="5"/>
    </row>
    <row r="678" spans="1:2" ht="15.75" customHeight="1">
      <c r="A678" s="11"/>
      <c r="B678" s="5"/>
    </row>
    <row r="679" spans="1:2" ht="15.75" customHeight="1">
      <c r="A679" s="11"/>
      <c r="B679" s="5"/>
    </row>
    <row r="680" spans="1:2" ht="15.75" customHeight="1">
      <c r="A680" s="11"/>
      <c r="B680" s="5"/>
    </row>
    <row r="681" spans="1:2" ht="15.75" customHeight="1">
      <c r="A681" s="11"/>
      <c r="B681" s="5"/>
    </row>
    <row r="682" spans="1:2" ht="15.75" customHeight="1">
      <c r="A682" s="11"/>
      <c r="B682" s="5"/>
    </row>
    <row r="683" spans="1:2" ht="15.75" customHeight="1">
      <c r="A683" s="11"/>
      <c r="B683" s="5"/>
    </row>
    <row r="684" spans="1:2" ht="15.75" customHeight="1">
      <c r="A684" s="11"/>
      <c r="B684" s="5"/>
    </row>
    <row r="685" spans="1:2" ht="15.75" customHeight="1">
      <c r="A685" s="11"/>
      <c r="B685" s="5"/>
    </row>
    <row r="686" spans="1:2" ht="15.75" customHeight="1">
      <c r="A686" s="11"/>
      <c r="B686" s="5"/>
    </row>
    <row r="687" spans="1:2" ht="15.75" customHeight="1">
      <c r="A687" s="11"/>
      <c r="B687" s="5"/>
    </row>
    <row r="688" spans="1:2" ht="15.75" customHeight="1">
      <c r="A688" s="11"/>
      <c r="B688" s="5"/>
    </row>
    <row r="689" spans="1:2" ht="15.75" customHeight="1">
      <c r="A689" s="11"/>
      <c r="B689" s="5"/>
    </row>
    <row r="690" spans="1:2" ht="15.75" customHeight="1">
      <c r="A690" s="11"/>
      <c r="B690" s="5"/>
    </row>
    <row r="691" spans="1:2" ht="15.75" customHeight="1">
      <c r="A691" s="11"/>
      <c r="B691" s="5"/>
    </row>
    <row r="692" spans="1:2" ht="15.75" customHeight="1">
      <c r="A692" s="11"/>
      <c r="B692" s="5"/>
    </row>
    <row r="693" spans="1:2" ht="15.75" customHeight="1">
      <c r="A693" s="11"/>
      <c r="B693" s="5"/>
    </row>
    <row r="694" spans="1:2" ht="15.75" customHeight="1">
      <c r="A694" s="11"/>
      <c r="B694" s="5"/>
    </row>
    <row r="695" spans="1:2" ht="15.75" customHeight="1">
      <c r="A695" s="11"/>
      <c r="B695" s="5"/>
    </row>
    <row r="696" spans="1:2" ht="15.75" customHeight="1">
      <c r="A696" s="11"/>
      <c r="B696" s="5"/>
    </row>
    <row r="697" spans="1:2" ht="15.75" customHeight="1">
      <c r="A697" s="11"/>
      <c r="B697" s="5"/>
    </row>
    <row r="698" spans="1:2" ht="15.75" customHeight="1">
      <c r="A698" s="11"/>
      <c r="B698" s="5"/>
    </row>
    <row r="699" spans="1:2" ht="15.75" customHeight="1">
      <c r="A699" s="11"/>
      <c r="B699" s="5"/>
    </row>
    <row r="700" spans="1:2" ht="15.75" customHeight="1">
      <c r="A700" s="11"/>
      <c r="B700" s="5"/>
    </row>
    <row r="701" spans="1:2" ht="15.75" customHeight="1">
      <c r="A701" s="11"/>
      <c r="B701" s="5"/>
    </row>
    <row r="702" spans="1:2" ht="15.75" customHeight="1">
      <c r="A702" s="11"/>
      <c r="B702" s="5"/>
    </row>
    <row r="703" spans="1:2" ht="15.75" customHeight="1">
      <c r="A703" s="11"/>
      <c r="B703" s="5"/>
    </row>
    <row r="704" spans="1:2" ht="15.75" customHeight="1">
      <c r="A704" s="11"/>
      <c r="B704" s="5"/>
    </row>
    <row r="705" spans="1:2" ht="15.75" customHeight="1">
      <c r="A705" s="11"/>
      <c r="B705" s="5"/>
    </row>
    <row r="706" spans="1:2" ht="15.75" customHeight="1">
      <c r="A706" s="11"/>
      <c r="B706" s="5"/>
    </row>
    <row r="707" spans="1:2" ht="15.75" customHeight="1">
      <c r="A707" s="11"/>
      <c r="B707" s="5"/>
    </row>
    <row r="708" spans="1:2" ht="15.75" customHeight="1">
      <c r="A708" s="11"/>
      <c r="B708" s="5"/>
    </row>
    <row r="709" spans="1:2" ht="15.75" customHeight="1">
      <c r="A709" s="11"/>
      <c r="B709" s="5"/>
    </row>
    <row r="710" spans="1:2" ht="15.75" customHeight="1">
      <c r="A710" s="11"/>
      <c r="B710" s="5"/>
    </row>
    <row r="711" spans="1:2" ht="15.75" customHeight="1">
      <c r="A711" s="11"/>
      <c r="B711" s="5"/>
    </row>
    <row r="712" spans="1:2" ht="15.75" customHeight="1">
      <c r="A712" s="11"/>
      <c r="B712" s="5"/>
    </row>
    <row r="713" spans="1:2" ht="15.75" customHeight="1">
      <c r="A713" s="11"/>
      <c r="B713" s="5"/>
    </row>
    <row r="714" spans="1:2" ht="15.75" customHeight="1">
      <c r="A714" s="11"/>
      <c r="B714" s="5"/>
    </row>
    <row r="715" spans="1:2" ht="15.75" customHeight="1">
      <c r="A715" s="11"/>
      <c r="B715" s="5"/>
    </row>
    <row r="716" spans="1:2" ht="15.75" customHeight="1">
      <c r="A716" s="11"/>
      <c r="B716" s="5"/>
    </row>
    <row r="717" spans="1:2" ht="15.75" customHeight="1">
      <c r="A717" s="11"/>
      <c r="B717" s="5"/>
    </row>
    <row r="718" spans="1:2" ht="15.75" customHeight="1">
      <c r="A718" s="11"/>
      <c r="B718" s="5"/>
    </row>
    <row r="719" spans="1:2" ht="15.75" customHeight="1">
      <c r="A719" s="11"/>
      <c r="B719" s="5"/>
    </row>
    <row r="720" spans="1:2" ht="15.75" customHeight="1">
      <c r="A720" s="11"/>
      <c r="B720" s="5"/>
    </row>
    <row r="721" spans="1:2" ht="15.75" customHeight="1">
      <c r="A721" s="11"/>
      <c r="B721" s="5"/>
    </row>
    <row r="722" spans="1:2" ht="15.75" customHeight="1">
      <c r="A722" s="11"/>
      <c r="B722" s="5"/>
    </row>
    <row r="723" spans="1:2" ht="15.75" customHeight="1">
      <c r="A723" s="11"/>
      <c r="B723" s="5"/>
    </row>
    <row r="724" spans="1:2" ht="15.75" customHeight="1">
      <c r="A724" s="11"/>
      <c r="B724" s="5"/>
    </row>
    <row r="725" spans="1:2" ht="15.75" customHeight="1">
      <c r="A725" s="11"/>
      <c r="B725" s="5"/>
    </row>
    <row r="726" spans="1:2" ht="15.75" customHeight="1">
      <c r="A726" s="11"/>
      <c r="B726" s="5"/>
    </row>
    <row r="727" spans="1:2" ht="15.75" customHeight="1">
      <c r="A727" s="11"/>
      <c r="B727" s="5"/>
    </row>
    <row r="728" spans="1:2" ht="15.75" customHeight="1">
      <c r="A728" s="11"/>
      <c r="B728" s="5"/>
    </row>
    <row r="729" spans="1:2" ht="15.75" customHeight="1">
      <c r="A729" s="11"/>
      <c r="B729" s="5"/>
    </row>
    <row r="730" spans="1:2" ht="15.75" customHeight="1">
      <c r="A730" s="11"/>
      <c r="B730" s="5"/>
    </row>
    <row r="731" spans="1:2" ht="15.75" customHeight="1">
      <c r="A731" s="11"/>
      <c r="B731" s="5"/>
    </row>
    <row r="732" spans="1:2" ht="15.75" customHeight="1">
      <c r="A732" s="11"/>
      <c r="B732" s="5"/>
    </row>
    <row r="733" spans="1:2" ht="15.75" customHeight="1">
      <c r="A733" s="11"/>
      <c r="B733" s="5"/>
    </row>
    <row r="734" spans="1:2" ht="15.75" customHeight="1">
      <c r="A734" s="11"/>
      <c r="B734" s="5"/>
    </row>
    <row r="735" spans="1:2" ht="15.75" customHeight="1">
      <c r="A735" s="11"/>
      <c r="B735" s="5"/>
    </row>
    <row r="736" spans="1:2" ht="15.75" customHeight="1">
      <c r="A736" s="11"/>
      <c r="B736" s="5"/>
    </row>
    <row r="737" spans="1:2" ht="15.75" customHeight="1">
      <c r="A737" s="11"/>
      <c r="B737" s="5"/>
    </row>
    <row r="738" spans="1:2" ht="15.75" customHeight="1">
      <c r="A738" s="11"/>
      <c r="B738" s="5"/>
    </row>
    <row r="739" spans="1:2" ht="15.75" customHeight="1">
      <c r="A739" s="11"/>
      <c r="B739" s="5"/>
    </row>
    <row r="740" spans="1:2" ht="15.75" customHeight="1">
      <c r="A740" s="11"/>
      <c r="B740" s="5"/>
    </row>
    <row r="741" spans="1:2" ht="15.75" customHeight="1">
      <c r="A741" s="11"/>
      <c r="B741" s="5"/>
    </row>
    <row r="742" spans="1:2" ht="15.75" customHeight="1">
      <c r="A742" s="11"/>
      <c r="B742" s="5"/>
    </row>
    <row r="743" spans="1:2" ht="15.75" customHeight="1">
      <c r="A743" s="11"/>
      <c r="B743" s="5"/>
    </row>
    <row r="744" spans="1:2" ht="15.75" customHeight="1">
      <c r="A744" s="11"/>
      <c r="B744" s="5"/>
    </row>
    <row r="745" spans="1:2" ht="15.75" customHeight="1">
      <c r="A745" s="11"/>
      <c r="B745" s="5"/>
    </row>
    <row r="746" spans="1:2" ht="15.75" customHeight="1">
      <c r="A746" s="11"/>
      <c r="B746" s="5"/>
    </row>
    <row r="747" spans="1:2" ht="15.75" customHeight="1">
      <c r="A747" s="11"/>
      <c r="B747" s="5"/>
    </row>
    <row r="748" spans="1:2" ht="15.75" customHeight="1">
      <c r="A748" s="11"/>
      <c r="B748" s="5"/>
    </row>
    <row r="749" spans="1:2" ht="15.75" customHeight="1">
      <c r="A749" s="11"/>
      <c r="B749" s="5"/>
    </row>
    <row r="750" spans="1:2" ht="15.75" customHeight="1">
      <c r="A750" s="11"/>
      <c r="B750" s="5"/>
    </row>
    <row r="751" spans="1:2" ht="15.75" customHeight="1">
      <c r="A751" s="11"/>
      <c r="B751" s="5"/>
    </row>
    <row r="752" spans="1:2" ht="15.75" customHeight="1">
      <c r="A752" s="11"/>
      <c r="B752" s="5"/>
    </row>
    <row r="753" spans="1:2" ht="15.75" customHeight="1">
      <c r="A753" s="11"/>
      <c r="B753" s="5"/>
    </row>
    <row r="754" spans="1:2" ht="15.75" customHeight="1">
      <c r="A754" s="11"/>
      <c r="B754" s="5"/>
    </row>
    <row r="755" spans="1:2" ht="15.75" customHeight="1">
      <c r="A755" s="11"/>
      <c r="B755" s="5"/>
    </row>
    <row r="756" spans="1:2" ht="15.75" customHeight="1">
      <c r="A756" s="11"/>
      <c r="B756" s="5"/>
    </row>
    <row r="757" spans="1:2" ht="15.75" customHeight="1">
      <c r="A757" s="11"/>
      <c r="B757" s="5"/>
    </row>
    <row r="758" spans="1:2" ht="15.75" customHeight="1">
      <c r="A758" s="11"/>
      <c r="B758" s="5"/>
    </row>
    <row r="759" spans="1:2" ht="15.75" customHeight="1">
      <c r="A759" s="11"/>
      <c r="B759" s="5"/>
    </row>
    <row r="760" spans="1:2" ht="15.75" customHeight="1">
      <c r="A760" s="11"/>
      <c r="B760" s="5"/>
    </row>
    <row r="761" spans="1:2" ht="15.75" customHeight="1">
      <c r="A761" s="11"/>
      <c r="B761" s="5"/>
    </row>
    <row r="762" spans="1:2" ht="15.75" customHeight="1">
      <c r="A762" s="11"/>
      <c r="B762" s="5"/>
    </row>
    <row r="763" spans="1:2" ht="15.75" customHeight="1">
      <c r="A763" s="11"/>
      <c r="B763" s="5"/>
    </row>
    <row r="764" spans="1:2" ht="15.75" customHeight="1">
      <c r="A764" s="11"/>
      <c r="B764" s="5"/>
    </row>
    <row r="765" spans="1:2" ht="15.75" customHeight="1">
      <c r="A765" s="11"/>
      <c r="B765" s="5"/>
    </row>
    <row r="766" spans="1:2" ht="15.75" customHeight="1">
      <c r="A766" s="11"/>
      <c r="B766" s="5"/>
    </row>
    <row r="767" spans="1:2" ht="15.75" customHeight="1">
      <c r="A767" s="11"/>
      <c r="B767" s="5"/>
    </row>
    <row r="768" spans="1:2" ht="15.75" customHeight="1">
      <c r="A768" s="11"/>
      <c r="B768" s="5"/>
    </row>
    <row r="769" spans="1:2" ht="15.75" customHeight="1">
      <c r="A769" s="11"/>
      <c r="B769" s="5"/>
    </row>
    <row r="770" spans="1:2" ht="15.75" customHeight="1">
      <c r="A770" s="11"/>
      <c r="B770" s="5"/>
    </row>
    <row r="771" spans="1:2" ht="15.75" customHeight="1">
      <c r="A771" s="11"/>
      <c r="B771" s="5"/>
    </row>
    <row r="772" spans="1:2" ht="15.75" customHeight="1">
      <c r="A772" s="11"/>
      <c r="B772" s="5"/>
    </row>
    <row r="773" spans="1:2" ht="15.75" customHeight="1">
      <c r="A773" s="11"/>
      <c r="B773" s="5"/>
    </row>
    <row r="774" spans="1:2" ht="15.75" customHeight="1">
      <c r="A774" s="11"/>
      <c r="B774" s="5"/>
    </row>
    <row r="775" spans="1:2" ht="15.75" customHeight="1">
      <c r="A775" s="11"/>
      <c r="B775" s="5"/>
    </row>
    <row r="776" spans="1:2" ht="15.75" customHeight="1">
      <c r="A776" s="11"/>
      <c r="B776" s="5"/>
    </row>
    <row r="777" spans="1:2" ht="15.75" customHeight="1">
      <c r="A777" s="11"/>
      <c r="B777" s="5"/>
    </row>
    <row r="778" spans="1:2" ht="15.75" customHeight="1">
      <c r="A778" s="11"/>
      <c r="B778" s="5"/>
    </row>
    <row r="779" spans="1:2" ht="15.75" customHeight="1">
      <c r="A779" s="11"/>
      <c r="B779" s="5"/>
    </row>
    <row r="780" spans="1:2" ht="15.75" customHeight="1">
      <c r="A780" s="11"/>
      <c r="B780" s="5"/>
    </row>
    <row r="781" spans="1:2" ht="15.75" customHeight="1">
      <c r="A781" s="11"/>
      <c r="B781" s="5"/>
    </row>
    <row r="782" spans="1:2" ht="15.75" customHeight="1">
      <c r="A782" s="11"/>
      <c r="B782" s="5"/>
    </row>
    <row r="783" spans="1:2" ht="15.75" customHeight="1">
      <c r="A783" s="11"/>
      <c r="B783" s="5"/>
    </row>
    <row r="784" spans="1:2" ht="15.75" customHeight="1">
      <c r="A784" s="11"/>
      <c r="B784" s="5"/>
    </row>
    <row r="785" spans="1:2" ht="15.75" customHeight="1">
      <c r="A785" s="11"/>
      <c r="B785" s="5"/>
    </row>
    <row r="786" spans="1:2" ht="15.75" customHeight="1">
      <c r="A786" s="11"/>
      <c r="B786" s="5"/>
    </row>
    <row r="787" spans="1:2" ht="15.75" customHeight="1">
      <c r="A787" s="11"/>
      <c r="B787" s="5"/>
    </row>
    <row r="788" spans="1:2" ht="15.75" customHeight="1">
      <c r="A788" s="11"/>
      <c r="B788" s="5"/>
    </row>
    <row r="789" spans="1:2" ht="15.75" customHeight="1">
      <c r="A789" s="11"/>
      <c r="B789" s="5"/>
    </row>
    <row r="790" spans="1:2" ht="15.75" customHeight="1">
      <c r="A790" s="11"/>
      <c r="B790" s="5"/>
    </row>
    <row r="791" spans="1:2" ht="15.75" customHeight="1">
      <c r="A791" s="11"/>
      <c r="B791" s="5"/>
    </row>
    <row r="792" spans="1:2" ht="15.75" customHeight="1">
      <c r="A792" s="11"/>
      <c r="B792" s="5"/>
    </row>
    <row r="793" spans="1:2" ht="15.75" customHeight="1">
      <c r="A793" s="11"/>
      <c r="B793" s="5"/>
    </row>
    <row r="794" spans="1:2" ht="15.75" customHeight="1">
      <c r="A794" s="11"/>
      <c r="B794" s="5"/>
    </row>
    <row r="795" spans="1:2" ht="15.75" customHeight="1">
      <c r="A795" s="11"/>
      <c r="B795" s="5"/>
    </row>
    <row r="796" spans="1:2" ht="15.75" customHeight="1">
      <c r="A796" s="11"/>
      <c r="B796" s="5"/>
    </row>
    <row r="797" spans="1:2" ht="15.75" customHeight="1">
      <c r="A797" s="11"/>
      <c r="B797" s="5"/>
    </row>
    <row r="798" spans="1:2" ht="15.75" customHeight="1">
      <c r="A798" s="11"/>
      <c r="B798" s="5"/>
    </row>
    <row r="799" spans="1:2" ht="15.75" customHeight="1">
      <c r="A799" s="11"/>
      <c r="B799" s="5"/>
    </row>
    <row r="800" spans="1:2" ht="15.75" customHeight="1">
      <c r="A800" s="11"/>
      <c r="B800" s="5"/>
    </row>
    <row r="801" spans="1:2" ht="15.75" customHeight="1">
      <c r="A801" s="11"/>
      <c r="B801" s="5"/>
    </row>
    <row r="802" spans="1:2" ht="15.75" customHeight="1">
      <c r="A802" s="11"/>
      <c r="B802" s="5"/>
    </row>
    <row r="803" spans="1:2" ht="15.75" customHeight="1">
      <c r="A803" s="11"/>
      <c r="B803" s="5"/>
    </row>
    <row r="804" spans="1:2" ht="15.75" customHeight="1">
      <c r="A804" s="11"/>
      <c r="B804" s="5"/>
    </row>
    <row r="805" spans="1:2" ht="15.75" customHeight="1">
      <c r="A805" s="11"/>
      <c r="B805" s="5"/>
    </row>
    <row r="806" spans="1:2" ht="15.75" customHeight="1">
      <c r="A806" s="11"/>
      <c r="B806" s="5"/>
    </row>
    <row r="807" spans="1:2" ht="15.75" customHeight="1">
      <c r="A807" s="11"/>
      <c r="B807" s="5"/>
    </row>
    <row r="808" spans="1:2" ht="15.75" customHeight="1">
      <c r="A808" s="11"/>
      <c r="B808" s="5"/>
    </row>
    <row r="809" spans="1:2" ht="15.75" customHeight="1">
      <c r="A809" s="11"/>
      <c r="B809" s="5"/>
    </row>
    <row r="810" spans="1:2" ht="15.75" customHeight="1">
      <c r="A810" s="11"/>
      <c r="B810" s="5"/>
    </row>
    <row r="811" spans="1:2" ht="15.75" customHeight="1">
      <c r="A811" s="11"/>
      <c r="B811" s="5"/>
    </row>
    <row r="812" spans="1:2" ht="15.75" customHeight="1">
      <c r="A812" s="11"/>
      <c r="B812" s="5"/>
    </row>
    <row r="813" spans="1:2" ht="15.75" customHeight="1">
      <c r="A813" s="11"/>
      <c r="B813" s="5"/>
    </row>
    <row r="814" spans="1:2" ht="15.75" customHeight="1">
      <c r="A814" s="11"/>
      <c r="B814" s="5"/>
    </row>
    <row r="815" spans="1:2" ht="15.75" customHeight="1">
      <c r="A815" s="11"/>
      <c r="B815" s="5"/>
    </row>
    <row r="816" spans="1:2" ht="15.75" customHeight="1">
      <c r="A816" s="11"/>
      <c r="B816" s="5"/>
    </row>
    <row r="817" spans="1:2" ht="15.75" customHeight="1">
      <c r="A817" s="11"/>
      <c r="B817" s="5"/>
    </row>
    <row r="818" spans="1:2" ht="15.75" customHeight="1">
      <c r="A818" s="11"/>
      <c r="B818" s="5"/>
    </row>
    <row r="819" spans="1:2" ht="15.75" customHeight="1">
      <c r="A819" s="11"/>
      <c r="B819" s="5"/>
    </row>
    <row r="820" spans="1:2" ht="15.75" customHeight="1">
      <c r="A820" s="11"/>
      <c r="B820" s="5"/>
    </row>
    <row r="821" spans="1:2" ht="15.75" customHeight="1">
      <c r="A821" s="11"/>
      <c r="B821" s="5"/>
    </row>
    <row r="822" spans="1:2" ht="15.75" customHeight="1">
      <c r="A822" s="11"/>
      <c r="B822" s="5"/>
    </row>
    <row r="823" spans="1:2" ht="15.75" customHeight="1">
      <c r="A823" s="11"/>
      <c r="B823" s="5"/>
    </row>
    <row r="824" spans="1:2" ht="15.75" customHeight="1">
      <c r="A824" s="11"/>
      <c r="B824" s="5"/>
    </row>
    <row r="825" spans="1:2" ht="15.75" customHeight="1">
      <c r="A825" s="11"/>
      <c r="B825" s="5"/>
    </row>
    <row r="826" spans="1:2" ht="15.75" customHeight="1">
      <c r="A826" s="11"/>
      <c r="B826" s="5"/>
    </row>
    <row r="827" spans="1:2" ht="15.75" customHeight="1">
      <c r="A827" s="11"/>
      <c r="B827" s="5"/>
    </row>
    <row r="828" spans="1:2" ht="15.75" customHeight="1">
      <c r="A828" s="11"/>
      <c r="B828" s="5"/>
    </row>
    <row r="829" spans="1:2" ht="15.75" customHeight="1">
      <c r="A829" s="11"/>
      <c r="B829" s="5"/>
    </row>
    <row r="830" spans="1:2" ht="15.75" customHeight="1">
      <c r="A830" s="11"/>
      <c r="B830" s="5"/>
    </row>
    <row r="831" spans="1:2" ht="15.75" customHeight="1">
      <c r="A831" s="11"/>
      <c r="B831" s="5"/>
    </row>
    <row r="832" spans="1:2" ht="15.75" customHeight="1">
      <c r="A832" s="11"/>
      <c r="B832" s="5"/>
    </row>
    <row r="833" spans="1:2" ht="15.75" customHeight="1">
      <c r="A833" s="11"/>
      <c r="B833" s="5"/>
    </row>
    <row r="834" spans="1:2" ht="15.75" customHeight="1">
      <c r="A834" s="11"/>
      <c r="B834" s="5"/>
    </row>
    <row r="835" spans="1:2" ht="15.75" customHeight="1">
      <c r="A835" s="11"/>
      <c r="B835" s="5"/>
    </row>
    <row r="836" spans="1:2" ht="15.75" customHeight="1">
      <c r="A836" s="11"/>
      <c r="B836" s="5"/>
    </row>
    <row r="837" spans="1:2" ht="15.75" customHeight="1">
      <c r="A837" s="11"/>
      <c r="B837" s="5"/>
    </row>
    <row r="838" spans="1:2" ht="15.75" customHeight="1">
      <c r="A838" s="11"/>
      <c r="B838" s="5"/>
    </row>
    <row r="839" spans="1:2" ht="15.75" customHeight="1">
      <c r="A839" s="11"/>
      <c r="B839" s="5"/>
    </row>
    <row r="840" spans="1:2" ht="15.75" customHeight="1">
      <c r="A840" s="11"/>
      <c r="B840" s="5"/>
    </row>
    <row r="841" spans="1:2" ht="15.75" customHeight="1">
      <c r="A841" s="11"/>
      <c r="B841" s="5"/>
    </row>
    <row r="842" spans="1:2" ht="15.75" customHeight="1">
      <c r="A842" s="11"/>
      <c r="B842" s="5"/>
    </row>
    <row r="843" spans="1:2" ht="15.75" customHeight="1">
      <c r="A843" s="11"/>
      <c r="B843" s="5"/>
    </row>
    <row r="844" spans="1:2" ht="15.75" customHeight="1">
      <c r="A844" s="11"/>
      <c r="B844" s="5"/>
    </row>
    <row r="845" spans="1:2" ht="15.75" customHeight="1">
      <c r="A845" s="11"/>
      <c r="B845" s="5"/>
    </row>
    <row r="846" spans="1:2" ht="15.75" customHeight="1">
      <c r="A846" s="11"/>
      <c r="B846" s="5"/>
    </row>
    <row r="847" spans="1:2" ht="15.75" customHeight="1">
      <c r="A847" s="11"/>
      <c r="B847" s="5"/>
    </row>
    <row r="848" spans="1:2" ht="15.75" customHeight="1">
      <c r="A848" s="11"/>
      <c r="B848" s="5"/>
    </row>
    <row r="849" spans="1:2" ht="15.75" customHeight="1">
      <c r="A849" s="11"/>
      <c r="B849" s="5"/>
    </row>
    <row r="850" spans="1:2" ht="15.75" customHeight="1">
      <c r="A850" s="11"/>
      <c r="B850" s="5"/>
    </row>
    <row r="851" spans="1:2" ht="15.75" customHeight="1">
      <c r="A851" s="11"/>
      <c r="B851" s="5"/>
    </row>
    <row r="852" spans="1:2" ht="15.75" customHeight="1">
      <c r="A852" s="11"/>
      <c r="B852" s="5"/>
    </row>
    <row r="853" spans="1:2" ht="15.75" customHeight="1">
      <c r="A853" s="11"/>
      <c r="B853" s="5"/>
    </row>
    <row r="854" spans="1:2" ht="15.75" customHeight="1">
      <c r="A854" s="11"/>
      <c r="B854" s="5"/>
    </row>
    <row r="855" spans="1:2" ht="15.75" customHeight="1">
      <c r="A855" s="11"/>
      <c r="B855" s="5"/>
    </row>
    <row r="856" spans="1:2" ht="15.75" customHeight="1">
      <c r="A856" s="11"/>
      <c r="B856" s="5"/>
    </row>
    <row r="857" spans="1:2" ht="15.75" customHeight="1">
      <c r="A857" s="11"/>
      <c r="B857" s="5"/>
    </row>
    <row r="858" spans="1:2" ht="15.75" customHeight="1">
      <c r="A858" s="11"/>
      <c r="B858" s="5"/>
    </row>
    <row r="859" spans="1:2" ht="15.75" customHeight="1">
      <c r="A859" s="11"/>
      <c r="B859" s="5"/>
    </row>
    <row r="860" spans="1:2" ht="15.75" customHeight="1">
      <c r="A860" s="11"/>
      <c r="B860" s="5"/>
    </row>
    <row r="861" spans="1:2" ht="15.75" customHeight="1">
      <c r="A861" s="11"/>
      <c r="B861" s="5"/>
    </row>
    <row r="862" spans="1:2" ht="15.75" customHeight="1">
      <c r="A862" s="11"/>
      <c r="B862" s="5"/>
    </row>
    <row r="863" spans="1:2" ht="15.75" customHeight="1">
      <c r="A863" s="11"/>
      <c r="B863" s="5"/>
    </row>
    <row r="864" spans="1:2" ht="15.75" customHeight="1">
      <c r="A864" s="11"/>
      <c r="B864" s="5"/>
    </row>
    <row r="865" spans="1:2" ht="15.75" customHeight="1">
      <c r="A865" s="11"/>
      <c r="B865" s="5"/>
    </row>
    <row r="866" spans="1:2" ht="15.75" customHeight="1">
      <c r="A866" s="11"/>
      <c r="B866" s="5"/>
    </row>
    <row r="867" spans="1:2" ht="15.75" customHeight="1">
      <c r="A867" s="11"/>
      <c r="B867" s="5"/>
    </row>
    <row r="868" spans="1:2" ht="15.75" customHeight="1">
      <c r="A868" s="11"/>
      <c r="B868" s="5"/>
    </row>
    <row r="869" spans="1:2" ht="15.75" customHeight="1">
      <c r="A869" s="11"/>
      <c r="B869" s="5"/>
    </row>
    <row r="870" spans="1:2" ht="15.75" customHeight="1">
      <c r="A870" s="11"/>
      <c r="B870" s="5"/>
    </row>
    <row r="871" spans="1:2" ht="15.75" customHeight="1">
      <c r="A871" s="11"/>
      <c r="B871" s="5"/>
    </row>
    <row r="872" spans="1:2" ht="15.75" customHeight="1">
      <c r="A872" s="11"/>
      <c r="B872" s="5"/>
    </row>
    <row r="873" spans="1:2" ht="15.75" customHeight="1">
      <c r="A873" s="11"/>
      <c r="B873" s="5"/>
    </row>
    <row r="874" spans="1:2" ht="15.75" customHeight="1">
      <c r="A874" s="11"/>
      <c r="B874" s="5"/>
    </row>
    <row r="875" spans="1:2" ht="15.75" customHeight="1">
      <c r="A875" s="11"/>
      <c r="B875" s="5"/>
    </row>
    <row r="876" spans="1:2" ht="15.75" customHeight="1">
      <c r="A876" s="11"/>
      <c r="B876" s="5"/>
    </row>
    <row r="877" spans="1:2" ht="15.75" customHeight="1">
      <c r="A877" s="11"/>
      <c r="B877" s="5"/>
    </row>
    <row r="878" spans="1:2" ht="15.75" customHeight="1">
      <c r="A878" s="11"/>
      <c r="B878" s="5"/>
    </row>
    <row r="879" spans="1:2" ht="15.75" customHeight="1">
      <c r="A879" s="11"/>
      <c r="B879" s="5"/>
    </row>
    <row r="880" spans="1:2" ht="15.75" customHeight="1">
      <c r="A880" s="11"/>
      <c r="B880" s="5"/>
    </row>
    <row r="881" spans="1:2" ht="15.75" customHeight="1">
      <c r="A881" s="11"/>
      <c r="B881" s="5"/>
    </row>
    <row r="882" spans="1:2" ht="15.75" customHeight="1">
      <c r="A882" s="11"/>
      <c r="B882" s="5"/>
    </row>
    <row r="883" spans="1:2" ht="15.75" customHeight="1">
      <c r="A883" s="11"/>
      <c r="B883" s="5"/>
    </row>
    <row r="884" spans="1:2" ht="15.75" customHeight="1">
      <c r="A884" s="11"/>
      <c r="B884" s="5"/>
    </row>
    <row r="885" spans="1:2" ht="15.75" customHeight="1">
      <c r="A885" s="11"/>
      <c r="B885" s="5"/>
    </row>
    <row r="886" spans="1:2" ht="15.75" customHeight="1">
      <c r="A886" s="11"/>
      <c r="B886" s="5"/>
    </row>
    <row r="887" spans="1:2" ht="15.75" customHeight="1">
      <c r="A887" s="11"/>
      <c r="B887" s="5"/>
    </row>
    <row r="888" spans="1:2" ht="15.75" customHeight="1">
      <c r="A888" s="11"/>
      <c r="B888" s="5"/>
    </row>
    <row r="889" spans="1:2" ht="15.75" customHeight="1">
      <c r="A889" s="11"/>
      <c r="B889" s="5"/>
    </row>
    <row r="890" spans="1:2" ht="15.75" customHeight="1">
      <c r="A890" s="11"/>
      <c r="B890" s="5"/>
    </row>
    <row r="891" spans="1:2" ht="15.75" customHeight="1">
      <c r="A891" s="11"/>
      <c r="B891" s="5"/>
    </row>
    <row r="892" spans="1:2" ht="15.75" customHeight="1">
      <c r="A892" s="11"/>
      <c r="B892" s="5"/>
    </row>
    <row r="893" spans="1:2" ht="15.75" customHeight="1">
      <c r="A893" s="11"/>
      <c r="B893" s="5"/>
    </row>
    <row r="894" spans="1:2" ht="15.75" customHeight="1">
      <c r="A894" s="11"/>
      <c r="B894" s="5"/>
    </row>
    <row r="895" spans="1:2" ht="15.75" customHeight="1">
      <c r="A895" s="11"/>
      <c r="B895" s="5"/>
    </row>
    <row r="896" spans="1:2" ht="15.75" customHeight="1">
      <c r="A896" s="11"/>
      <c r="B896" s="5"/>
    </row>
    <row r="897" spans="1:2" ht="15.75" customHeight="1">
      <c r="A897" s="11"/>
      <c r="B897" s="5"/>
    </row>
    <row r="898" spans="1:2" ht="15.75" customHeight="1">
      <c r="A898" s="11"/>
      <c r="B898" s="5"/>
    </row>
    <row r="899" spans="1:2" ht="15.75" customHeight="1">
      <c r="A899" s="11"/>
      <c r="B899" s="5"/>
    </row>
    <row r="900" spans="1:2" ht="15.75" customHeight="1">
      <c r="A900" s="11"/>
      <c r="B900" s="5"/>
    </row>
    <row r="901" spans="1:2" ht="15.75" customHeight="1">
      <c r="A901" s="11"/>
      <c r="B901" s="5"/>
    </row>
    <row r="902" spans="1:2" ht="15.75" customHeight="1">
      <c r="A902" s="11"/>
      <c r="B902" s="5"/>
    </row>
    <row r="903" spans="1:2" ht="15.75" customHeight="1">
      <c r="A903" s="11"/>
      <c r="B903" s="5"/>
    </row>
    <row r="904" spans="1:2" ht="15.75" customHeight="1">
      <c r="A904" s="11"/>
      <c r="B904" s="5"/>
    </row>
    <row r="905" spans="1:2" ht="15.75" customHeight="1">
      <c r="A905" s="11"/>
      <c r="B905" s="5"/>
    </row>
    <row r="906" spans="1:2" ht="15.75" customHeight="1">
      <c r="A906" s="11"/>
      <c r="B906" s="5"/>
    </row>
    <row r="907" spans="1:2" ht="15.75" customHeight="1">
      <c r="A907" s="11"/>
      <c r="B907" s="5"/>
    </row>
    <row r="908" spans="1:2" ht="15.75" customHeight="1">
      <c r="A908" s="11"/>
      <c r="B908" s="5"/>
    </row>
    <row r="909" spans="1:2" ht="15.75" customHeight="1">
      <c r="A909" s="11"/>
      <c r="B909" s="5"/>
    </row>
    <row r="910" spans="1:2" ht="15.75" customHeight="1">
      <c r="A910" s="11"/>
      <c r="B910" s="5"/>
    </row>
    <row r="911" spans="1:2" ht="15.75" customHeight="1">
      <c r="A911" s="11"/>
      <c r="B911" s="5"/>
    </row>
    <row r="912" spans="1:2" ht="15.75" customHeight="1">
      <c r="A912" s="11"/>
      <c r="B912" s="5"/>
    </row>
    <row r="913" spans="1:2" ht="15.75" customHeight="1">
      <c r="A913" s="11"/>
      <c r="B913" s="5"/>
    </row>
    <row r="914" spans="1:2" ht="15.75" customHeight="1">
      <c r="A914" s="11"/>
      <c r="B914" s="5"/>
    </row>
    <row r="915" spans="1:2" ht="15.75" customHeight="1">
      <c r="A915" s="11"/>
      <c r="B915" s="5"/>
    </row>
    <row r="916" spans="1:2" ht="15.75" customHeight="1">
      <c r="A916" s="11"/>
      <c r="B916" s="5"/>
    </row>
    <row r="917" spans="1:2" ht="15.75" customHeight="1">
      <c r="A917" s="11"/>
      <c r="B917" s="5"/>
    </row>
    <row r="918" spans="1:2" ht="15.75" customHeight="1">
      <c r="A918" s="11"/>
      <c r="B918" s="5"/>
    </row>
    <row r="919" spans="1:2" ht="15.75" customHeight="1">
      <c r="A919" s="11"/>
      <c r="B919" s="5"/>
    </row>
    <row r="920" spans="1:2" ht="15.75" customHeight="1">
      <c r="A920" s="11"/>
      <c r="B920" s="5"/>
    </row>
    <row r="921" spans="1:2" ht="15.75" customHeight="1">
      <c r="A921" s="11"/>
      <c r="B921" s="5"/>
    </row>
    <row r="922" spans="1:2" ht="15.75" customHeight="1">
      <c r="A922" s="11"/>
      <c r="B922" s="5"/>
    </row>
    <row r="923" spans="1:2" ht="15.75" customHeight="1">
      <c r="A923" s="11"/>
      <c r="B923" s="5"/>
    </row>
    <row r="924" spans="1:2" ht="15.75" customHeight="1">
      <c r="A924" s="11"/>
      <c r="B924" s="5"/>
    </row>
    <row r="925" spans="1:2" ht="15.75" customHeight="1">
      <c r="A925" s="11"/>
      <c r="B925" s="5"/>
    </row>
    <row r="926" spans="1:2" ht="15.75" customHeight="1">
      <c r="A926" s="11"/>
      <c r="B926" s="5"/>
    </row>
    <row r="927" spans="1:2" ht="15.75" customHeight="1">
      <c r="A927" s="11"/>
      <c r="B927" s="5"/>
    </row>
    <row r="928" spans="1:2" ht="15.75" customHeight="1">
      <c r="A928" s="11"/>
      <c r="B928" s="5"/>
    </row>
    <row r="929" spans="1:2" ht="15.75" customHeight="1">
      <c r="A929" s="11"/>
      <c r="B929" s="5"/>
    </row>
    <row r="930" spans="1:2" ht="15.75" customHeight="1">
      <c r="A930" s="11"/>
      <c r="B930" s="5"/>
    </row>
    <row r="931" spans="1:2" ht="15.75" customHeight="1">
      <c r="A931" s="11"/>
      <c r="B931" s="5"/>
    </row>
    <row r="932" spans="1:2" ht="15.75" customHeight="1">
      <c r="A932" s="11"/>
      <c r="B932" s="5"/>
    </row>
    <row r="933" spans="1:2" ht="15.75" customHeight="1">
      <c r="A933" s="11"/>
      <c r="B933" s="5"/>
    </row>
    <row r="934" spans="1:2" ht="15.75" customHeight="1">
      <c r="A934" s="11"/>
      <c r="B934" s="5"/>
    </row>
    <row r="935" spans="1:2" ht="15.75" customHeight="1">
      <c r="A935" s="11"/>
      <c r="B935" s="5"/>
    </row>
    <row r="936" spans="1:2" ht="15.75" customHeight="1">
      <c r="A936" s="11"/>
      <c r="B936" s="5"/>
    </row>
    <row r="937" spans="1:2" ht="15.75" customHeight="1">
      <c r="A937" s="11"/>
      <c r="B937" s="5"/>
    </row>
    <row r="938" spans="1:2" ht="15.75" customHeight="1">
      <c r="A938" s="11"/>
      <c r="B938" s="5"/>
    </row>
    <row r="939" spans="1:2" ht="15.75" customHeight="1">
      <c r="A939" s="11"/>
      <c r="B939" s="5"/>
    </row>
    <row r="940" spans="1:2" ht="15.75" customHeight="1">
      <c r="A940" s="11"/>
      <c r="B940" s="5"/>
    </row>
    <row r="941" spans="1:2" ht="15.75" customHeight="1">
      <c r="A941" s="11"/>
      <c r="B941" s="5"/>
    </row>
    <row r="942" spans="1:2" ht="15.75" customHeight="1">
      <c r="A942" s="11"/>
      <c r="B942" s="5"/>
    </row>
    <row r="943" spans="1:2" ht="15.75" customHeight="1">
      <c r="A943" s="11"/>
      <c r="B943" s="5"/>
    </row>
    <row r="944" spans="1:2" ht="15.75" customHeight="1">
      <c r="A944" s="11"/>
      <c r="B944" s="5"/>
    </row>
    <row r="945" spans="1:2" ht="15.75" customHeight="1">
      <c r="A945" s="11"/>
      <c r="B945" s="5"/>
    </row>
    <row r="946" spans="1:2" ht="15.75" customHeight="1">
      <c r="A946" s="11"/>
      <c r="B946" s="5"/>
    </row>
    <row r="947" spans="1:2" ht="15.75" customHeight="1">
      <c r="A947" s="11"/>
      <c r="B947" s="5"/>
    </row>
    <row r="948" spans="1:2" ht="15.75" customHeight="1">
      <c r="A948" s="11"/>
      <c r="B948" s="5"/>
    </row>
    <row r="949" spans="1:2" ht="15.75" customHeight="1">
      <c r="A949" s="11"/>
      <c r="B949" s="5"/>
    </row>
    <row r="950" spans="1:2" ht="15.75" customHeight="1">
      <c r="A950" s="11"/>
      <c r="B950" s="5"/>
    </row>
    <row r="951" spans="1:2" ht="15.75" customHeight="1">
      <c r="A951" s="11"/>
      <c r="B951" s="5"/>
    </row>
    <row r="952" spans="1:2" ht="15.75" customHeight="1">
      <c r="A952" s="11"/>
      <c r="B952" s="5"/>
    </row>
    <row r="953" spans="1:2" ht="15.75" customHeight="1">
      <c r="A953" s="11"/>
      <c r="B953" s="5"/>
    </row>
    <row r="954" spans="1:2" ht="15.75" customHeight="1">
      <c r="A954" s="11"/>
      <c r="B954" s="5"/>
    </row>
    <row r="955" spans="1:2" ht="15.75" customHeight="1">
      <c r="A955" s="11"/>
      <c r="B955" s="5"/>
    </row>
    <row r="956" spans="1:2" ht="15.75" customHeight="1">
      <c r="A956" s="11"/>
      <c r="B956" s="5"/>
    </row>
    <row r="957" spans="1:2" ht="15.75" customHeight="1">
      <c r="A957" s="11"/>
      <c r="B957" s="5"/>
    </row>
    <row r="958" spans="1:2" ht="15.75" customHeight="1">
      <c r="A958" s="11"/>
      <c r="B958" s="5"/>
    </row>
    <row r="959" spans="1:2" ht="15.75" customHeight="1">
      <c r="A959" s="11"/>
      <c r="B959" s="5"/>
    </row>
    <row r="960" spans="1:2" ht="15.75" customHeight="1">
      <c r="A960" s="11"/>
      <c r="B960" s="5"/>
    </row>
    <row r="961" spans="1:2" ht="15.75" customHeight="1">
      <c r="A961" s="11"/>
      <c r="B961" s="5"/>
    </row>
    <row r="962" spans="1:2" ht="15.75" customHeight="1">
      <c r="A962" s="11"/>
      <c r="B962" s="5"/>
    </row>
    <row r="963" spans="1:2" ht="15.75" customHeight="1">
      <c r="A963" s="11"/>
      <c r="B963" s="5"/>
    </row>
    <row r="964" spans="1:2" ht="15.75" customHeight="1">
      <c r="A964" s="11"/>
      <c r="B964" s="5"/>
    </row>
    <row r="965" spans="1:2" ht="15.75" customHeight="1">
      <c r="A965" s="11"/>
      <c r="B965" s="5"/>
    </row>
    <row r="966" spans="1:2" ht="15.75" customHeight="1">
      <c r="A966" s="11"/>
      <c r="B966" s="5"/>
    </row>
    <row r="967" spans="1:2" ht="15.75" customHeight="1">
      <c r="A967" s="11"/>
      <c r="B967" s="5"/>
    </row>
    <row r="968" spans="1:2" ht="15.75" customHeight="1">
      <c r="A968" s="11"/>
      <c r="B968" s="5"/>
    </row>
    <row r="969" spans="1:2" ht="15.75" customHeight="1">
      <c r="A969" s="11"/>
      <c r="B969" s="5"/>
    </row>
    <row r="970" spans="1:2" ht="15.75" customHeight="1">
      <c r="A970" s="11"/>
      <c r="B970" s="5"/>
    </row>
    <row r="971" spans="1:2" ht="15.75" customHeight="1">
      <c r="A971" s="11"/>
      <c r="B971" s="5"/>
    </row>
    <row r="972" spans="1:2" ht="15.75" customHeight="1">
      <c r="A972" s="11"/>
      <c r="B972" s="5"/>
    </row>
    <row r="973" spans="1:2" ht="15.75" customHeight="1">
      <c r="A973" s="11"/>
      <c r="B973" s="5"/>
    </row>
    <row r="974" spans="1:2" ht="15.75" customHeight="1">
      <c r="A974" s="11"/>
      <c r="B974" s="5"/>
    </row>
    <row r="975" spans="1:2" ht="15.75" customHeight="1">
      <c r="A975" s="11"/>
      <c r="B975" s="5"/>
    </row>
    <row r="976" spans="1:2" ht="15.75" customHeight="1">
      <c r="A976" s="11"/>
      <c r="B976" s="5"/>
    </row>
    <row r="977" spans="1:2" ht="15.75" customHeight="1">
      <c r="A977" s="11"/>
      <c r="B977" s="5"/>
    </row>
    <row r="978" spans="1:2" ht="15.75" customHeight="1">
      <c r="A978" s="11"/>
      <c r="B978" s="5"/>
    </row>
    <row r="979" spans="1:2" ht="15.75" customHeight="1">
      <c r="A979" s="11"/>
      <c r="B979" s="5"/>
    </row>
    <row r="980" spans="1:2" ht="15.75" customHeight="1">
      <c r="A980" s="11"/>
      <c r="B980" s="5"/>
    </row>
    <row r="981" spans="1:2" ht="15.75" customHeight="1">
      <c r="A981" s="11"/>
      <c r="B981" s="5"/>
    </row>
    <row r="982" spans="1:2" ht="15.75" customHeight="1">
      <c r="A982" s="11"/>
      <c r="B982" s="5"/>
    </row>
    <row r="983" spans="1:2" ht="15.75" customHeight="1">
      <c r="A983" s="11"/>
      <c r="B983" s="5"/>
    </row>
    <row r="984" spans="1:2" ht="15.75" customHeight="1">
      <c r="A984" s="11"/>
      <c r="B984" s="5"/>
    </row>
    <row r="985" spans="1:2" ht="15.75" customHeight="1">
      <c r="A985" s="11"/>
      <c r="B985" s="5"/>
    </row>
    <row r="986" spans="1:2" ht="15.75" customHeight="1">
      <c r="A986" s="11"/>
      <c r="B986" s="5"/>
    </row>
    <row r="987" spans="1:2" ht="15.75" customHeight="1">
      <c r="A987" s="11"/>
      <c r="B987" s="5"/>
    </row>
    <row r="988" spans="1:2" ht="15.75" customHeight="1">
      <c r="A988" s="11"/>
      <c r="B988" s="5"/>
    </row>
    <row r="989" spans="1:2" ht="15.75" customHeight="1">
      <c r="A989" s="11"/>
      <c r="B989" s="5"/>
    </row>
    <row r="990" spans="1:2" ht="15.75" customHeight="1">
      <c r="A990" s="11"/>
      <c r="B990" s="5"/>
    </row>
    <row r="991" spans="1:2" ht="15.75" customHeight="1">
      <c r="A991" s="11"/>
      <c r="B991" s="5"/>
    </row>
    <row r="992" spans="1:2" ht="15.75" customHeight="1">
      <c r="A992" s="11"/>
      <c r="B992" s="5"/>
    </row>
    <row r="993" spans="1:2" ht="15.75" customHeight="1">
      <c r="A993" s="11"/>
      <c r="B993" s="5"/>
    </row>
    <row r="994" spans="1:2" ht="15.75" customHeight="1">
      <c r="A994" s="11"/>
      <c r="B994" s="5"/>
    </row>
    <row r="995" spans="1:2" ht="15.75" customHeight="1">
      <c r="A995" s="11"/>
      <c r="B995" s="5"/>
    </row>
    <row r="996" spans="1:2" ht="15.75" customHeight="1">
      <c r="A996" s="11"/>
      <c r="B996" s="5"/>
    </row>
    <row r="997" spans="1:2" ht="15.75" customHeight="1">
      <c r="A997" s="11"/>
      <c r="B997" s="5"/>
    </row>
    <row r="998" spans="1:2" ht="15.75" customHeight="1">
      <c r="A998" s="11"/>
      <c r="B998" s="5"/>
    </row>
    <row r="999" spans="1:2" ht="15.75" customHeight="1">
      <c r="A999" s="11"/>
      <c r="B999" s="5"/>
    </row>
    <row r="1000" spans="1:2" ht="15.75" customHeight="1">
      <c r="A1000" s="11"/>
      <c r="B1000" s="5"/>
    </row>
  </sheetData>
  <autoFilter ref="A1:B109" xr:uid="{00000000-0009-0000-0000-000001000000}"/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workbookViewId="0"/>
  </sheetViews>
  <sheetFormatPr defaultColWidth="14.42578125" defaultRowHeight="15" customHeight="1"/>
  <cols>
    <col min="1" max="1" width="19.85546875" customWidth="1"/>
    <col min="2" max="2" width="13.28515625" customWidth="1"/>
    <col min="3" max="3" width="22" customWidth="1"/>
    <col min="4" max="4" width="22.85546875" customWidth="1"/>
    <col min="5" max="5" width="26.42578125" customWidth="1"/>
    <col min="6" max="6" width="22.85546875" customWidth="1"/>
    <col min="7" max="26" width="8.7109375" customWidth="1"/>
  </cols>
  <sheetData>
    <row r="1" spans="1:6">
      <c r="A1" s="3" t="s">
        <v>6</v>
      </c>
      <c r="B1" s="2" t="s">
        <v>1</v>
      </c>
      <c r="C1" s="3" t="s">
        <v>235</v>
      </c>
      <c r="D1" s="3" t="s">
        <v>236</v>
      </c>
      <c r="E1" s="12" t="s">
        <v>4</v>
      </c>
      <c r="F1" s="13" t="s">
        <v>237</v>
      </c>
    </row>
    <row r="2" spans="1:6">
      <c r="A2" s="5" t="str">
        <f>BaseTest!G17</f>
        <v>P2</v>
      </c>
      <c r="B2" s="5" t="str">
        <f>BaseTest!B17</f>
        <v>AA</v>
      </c>
      <c r="C2" s="5" t="str">
        <f>VLOOKUP(BaseTest!C17,BaseWcag!$A$1:$B$10000,2,TRUE)</f>
        <v>Operable</v>
      </c>
      <c r="D2" s="5" t="str">
        <f>VLOOKUP(BaseTest!D17,BaseWcag!$A$1:$B$10000,2,TRUE)</f>
        <v>Navigable</v>
      </c>
      <c r="E2" s="7" t="str">
        <f>BaseTest!E17</f>
        <v>2.4.2</v>
      </c>
      <c r="F2" s="5" t="str">
        <f>VLOOKUP(E2,BaseWcag!$A$1:$B$10000,2,TRUE)</f>
        <v>Page Titled</v>
      </c>
    </row>
    <row r="3" spans="1:6">
      <c r="A3" s="5" t="str">
        <f>BaseTest!G18</f>
        <v>P2</v>
      </c>
      <c r="B3" s="5" t="str">
        <f>BaseTest!B18</f>
        <v>AA</v>
      </c>
      <c r="C3" s="5" t="str">
        <f>VLOOKUP(BaseTest!C18,BaseWcag!$A$1:$B$10000,2,TRUE)</f>
        <v>Perceivable</v>
      </c>
      <c r="D3" s="5" t="str">
        <f>VLOOKUP(BaseTest!D18,BaseWcag!$A$1:$B$10000,2,TRUE)</f>
        <v>Distinguishable</v>
      </c>
      <c r="E3" s="7" t="str">
        <f>BaseTest!E18</f>
        <v>1.4.3</v>
      </c>
      <c r="F3" s="5" t="str">
        <f>VLOOKUP(E3,BaseWcag!$A$1:$B$10000,2,TRUE)</f>
        <v>Contrast (Minimum)</v>
      </c>
    </row>
    <row r="4" spans="1:6">
      <c r="A4" s="5" t="str">
        <f>BaseTest!G19</f>
        <v>P2</v>
      </c>
      <c r="B4" s="5" t="str">
        <f>BaseTest!B19</f>
        <v>AA</v>
      </c>
      <c r="C4" s="5" t="str">
        <f>VLOOKUP(BaseTest!C19,BaseWcag!$A$1:$B$10000,2,TRUE)</f>
        <v>Perceivable</v>
      </c>
      <c r="D4" s="5" t="str">
        <f>VLOOKUP(BaseTest!D19,BaseWcag!$A$1:$B$10000,2,TRUE)</f>
        <v>Distinguishable</v>
      </c>
      <c r="E4" s="7" t="str">
        <f>BaseTest!E19</f>
        <v>1.4.3</v>
      </c>
      <c r="F4" s="5" t="str">
        <f>VLOOKUP(E4,BaseWcag!$A$1:$B$10000,2,TRUE)</f>
        <v>Contrast (Minimum)</v>
      </c>
    </row>
    <row r="5" spans="1:6">
      <c r="A5" s="5" t="str">
        <f>BaseTest!G20</f>
        <v>P2</v>
      </c>
      <c r="B5" s="5" t="str">
        <f>BaseTest!B20</f>
        <v>AA</v>
      </c>
      <c r="C5" s="5" t="str">
        <f>VLOOKUP(BaseTest!C20,BaseWcag!$A$1:$B$10000,2,TRUE)</f>
        <v>Operable</v>
      </c>
      <c r="D5" s="5" t="str">
        <f>VLOOKUP(BaseTest!D20,BaseWcag!$A$1:$B$10000,2,TRUE)</f>
        <v>Navigable</v>
      </c>
      <c r="E5" s="7" t="str">
        <f>BaseTest!E20</f>
        <v>2.4.2</v>
      </c>
      <c r="F5" s="5" t="str">
        <f>VLOOKUP(E5,BaseWcag!$A$1:$B$10000,2,TRUE)</f>
        <v>Page Titled</v>
      </c>
    </row>
    <row r="6" spans="1:6">
      <c r="A6" s="5" t="str">
        <f>BaseTest!G21</f>
        <v>P2</v>
      </c>
      <c r="B6" s="5" t="str">
        <f>BaseTest!B21</f>
        <v>AA</v>
      </c>
      <c r="C6" s="5" t="str">
        <f>VLOOKUP(BaseTest!C21,BaseWcag!$A$1:$B$10000,2,TRUE)</f>
        <v>Perceivable</v>
      </c>
      <c r="D6" s="5" t="str">
        <f>VLOOKUP(BaseTest!D21,BaseWcag!$A$1:$B$10000,2,TRUE)</f>
        <v>Distinguishable</v>
      </c>
      <c r="E6" s="7" t="str">
        <f>BaseTest!E21</f>
        <v>1.4.3</v>
      </c>
      <c r="F6" s="5" t="str">
        <f>VLOOKUP(E6,BaseWcag!$A$1:$B$10000,2,TRUE)</f>
        <v>Contrast (Minimum)</v>
      </c>
    </row>
    <row r="7" spans="1:6">
      <c r="A7" s="5" t="str">
        <f>BaseTest!G22</f>
        <v>P2</v>
      </c>
      <c r="B7" s="5" t="str">
        <f>BaseTest!B22</f>
        <v>AA</v>
      </c>
      <c r="C7" s="5" t="str">
        <f>VLOOKUP(BaseTest!C22,BaseWcag!$A$1:$B$10000,2,TRUE)</f>
        <v>Perceivable</v>
      </c>
      <c r="D7" s="5" t="str">
        <f>VLOOKUP(BaseTest!D22,BaseWcag!$A$1:$B$10000,2,TRUE)</f>
        <v>Distinguishable</v>
      </c>
      <c r="E7" s="7" t="str">
        <f>BaseTest!E22</f>
        <v>1.4.3</v>
      </c>
      <c r="F7" s="5" t="str">
        <f>VLOOKUP(E7,BaseWcag!$A$1:$B$10000,2,TRUE)</f>
        <v>Contrast (Minimum)</v>
      </c>
    </row>
    <row r="8" spans="1:6">
      <c r="A8" s="5" t="str">
        <f>BaseTest!G23</f>
        <v>P2</v>
      </c>
      <c r="B8" s="5" t="str">
        <f>BaseTest!B23</f>
        <v>AA</v>
      </c>
      <c r="C8" s="5" t="str">
        <f>VLOOKUP(BaseTest!C23,BaseWcag!$A$1:$B$10000,2,TRUE)</f>
        <v>Robust</v>
      </c>
      <c r="D8" s="5" t="str">
        <f>VLOOKUP(BaseTest!D23,BaseWcag!$A$1:$B$10000,2,TRUE)</f>
        <v>Compatible</v>
      </c>
      <c r="E8" s="7" t="str">
        <f>BaseTest!E23</f>
        <v>4.1.2</v>
      </c>
      <c r="F8" s="5" t="str">
        <f>VLOOKUP(E8,BaseWcag!$A$1:$B$10000,2,TRUE)</f>
        <v>Name, Role, Value</v>
      </c>
    </row>
    <row r="9" spans="1:6">
      <c r="A9" s="5" t="str">
        <f>BaseTest!G24</f>
        <v>P2</v>
      </c>
      <c r="B9" s="5" t="str">
        <f>BaseTest!B24</f>
        <v>AA</v>
      </c>
      <c r="C9" s="5" t="str">
        <f>VLOOKUP(BaseTest!C24,BaseWcag!$A$1:$B$10000,2,TRUE)</f>
        <v>Perceivable</v>
      </c>
      <c r="D9" s="5" t="str">
        <f>VLOOKUP(BaseTest!D24,BaseWcag!$A$1:$B$10000,2,TRUE)</f>
        <v>Adaptable</v>
      </c>
      <c r="E9" s="7" t="str">
        <f>BaseTest!E24</f>
        <v>1.3.1</v>
      </c>
      <c r="F9" s="5" t="str">
        <f>VLOOKUP(E9,BaseWcag!$A$1:$B$10000,2,TRUE)</f>
        <v>Info and Relationships</v>
      </c>
    </row>
    <row r="10" spans="1:6">
      <c r="A10" s="5" t="str">
        <f>BaseTest!G25</f>
        <v>P2</v>
      </c>
      <c r="B10" s="5" t="str">
        <f>BaseTest!B25</f>
        <v>AA</v>
      </c>
      <c r="C10" s="5" t="str">
        <f>VLOOKUP(BaseTest!C25,BaseWcag!$A$1:$B$10000,2,TRUE)</f>
        <v>Perceivable</v>
      </c>
      <c r="D10" s="5" t="str">
        <f>VLOOKUP(BaseTest!D25,BaseWcag!$A$1:$B$10000,2,TRUE)</f>
        <v>Distinguishable</v>
      </c>
      <c r="E10" s="7" t="str">
        <f>BaseTest!E25</f>
        <v>1.4.3</v>
      </c>
      <c r="F10" s="5" t="str">
        <f>VLOOKUP(E10,BaseWcag!$A$1:$B$10000,2,TRUE)</f>
        <v>Contrast (Minimum)</v>
      </c>
    </row>
    <row r="11" spans="1:6">
      <c r="A11" s="5" t="str">
        <f>BaseTest!G26</f>
        <v>P2</v>
      </c>
      <c r="B11" s="5" t="str">
        <f>BaseTest!B26</f>
        <v>AA</v>
      </c>
      <c r="C11" s="5" t="str">
        <f>VLOOKUP(BaseTest!C26,BaseWcag!$A$1:$B$10000,2,TRUE)</f>
        <v>Perceivable</v>
      </c>
      <c r="D11" s="5" t="str">
        <f>VLOOKUP(BaseTest!D26,BaseWcag!$A$1:$B$10000,2,TRUE)</f>
        <v>Distinguishable</v>
      </c>
      <c r="E11" s="7" t="str">
        <f>BaseTest!E26</f>
        <v>1.4.3</v>
      </c>
      <c r="F11" s="5" t="str">
        <f>VLOOKUP(E11,BaseWcag!$A$1:$B$10000,2,TRUE)</f>
        <v>Contrast (Minimum)</v>
      </c>
    </row>
    <row r="12" spans="1:6">
      <c r="A12" s="5" t="str">
        <f>BaseTest!G27</f>
        <v>P2</v>
      </c>
      <c r="B12" s="5" t="str">
        <f>BaseTest!B27</f>
        <v>AA</v>
      </c>
      <c r="C12" s="5" t="str">
        <f>VLOOKUP(BaseTest!C27,BaseWcag!$A$1:$B$10000,2,TRUE)</f>
        <v>Perceivable</v>
      </c>
      <c r="D12" s="5" t="str">
        <f>VLOOKUP(BaseTest!D27,BaseWcag!$A$1:$B$10000,2,TRUE)</f>
        <v>Distinguishable</v>
      </c>
      <c r="E12" s="7" t="str">
        <f>BaseTest!E27</f>
        <v>1.4.3</v>
      </c>
      <c r="F12" s="5" t="str">
        <f>VLOOKUP(E12,BaseWcag!$A$1:$B$10000,2,TRUE)</f>
        <v>Contrast (Minimum)</v>
      </c>
    </row>
    <row r="13" spans="1:6">
      <c r="A13" s="5" t="str">
        <f>BaseTest!G28</f>
        <v>P2</v>
      </c>
      <c r="B13" s="5" t="str">
        <f>BaseTest!B28</f>
        <v>AA</v>
      </c>
      <c r="C13" s="5" t="str">
        <f>VLOOKUP(BaseTest!C28,BaseWcag!$A$1:$B$10000,2,TRUE)</f>
        <v>Perceivable</v>
      </c>
      <c r="D13" s="5" t="str">
        <f>VLOOKUP(BaseTest!D28,BaseWcag!$A$1:$B$10000,2,TRUE)</f>
        <v>Distinguishable</v>
      </c>
      <c r="E13" s="7" t="str">
        <f>BaseTest!E28</f>
        <v>1.4.3</v>
      </c>
      <c r="F13" s="5" t="str">
        <f>VLOOKUP(E13,BaseWcag!$A$1:$B$10000,2,TRUE)</f>
        <v>Contrast (Minimum)</v>
      </c>
    </row>
    <row r="14" spans="1:6">
      <c r="A14" s="5" t="str">
        <f>BaseTest!G29</f>
        <v>P2</v>
      </c>
      <c r="B14" s="5" t="str">
        <f>BaseTest!B29</f>
        <v>AA</v>
      </c>
      <c r="C14" s="5" t="str">
        <f>VLOOKUP(BaseTest!C29,BaseWcag!$A$1:$B$10000,2,TRUE)</f>
        <v>Perceivable</v>
      </c>
      <c r="D14" s="5" t="str">
        <f>VLOOKUP(BaseTest!D29,BaseWcag!$A$1:$B$10000,2,TRUE)</f>
        <v>Distinguishable</v>
      </c>
      <c r="E14" s="7" t="str">
        <f>BaseTest!E29</f>
        <v>1.4.3</v>
      </c>
      <c r="F14" s="5" t="str">
        <f>VLOOKUP(E14,BaseWcag!$A$1:$B$10000,2,TRUE)</f>
        <v>Contrast (Minimum)</v>
      </c>
    </row>
    <row r="15" spans="1:6">
      <c r="A15" s="5" t="str">
        <f>BaseTest!G30</f>
        <v>P2</v>
      </c>
      <c r="B15" s="5" t="str">
        <f>BaseTest!B30</f>
        <v>AA</v>
      </c>
      <c r="C15" s="5" t="str">
        <f>VLOOKUP(BaseTest!C30,BaseWcag!$A$1:$B$10000,2,TRUE)</f>
        <v>Perceivable</v>
      </c>
      <c r="D15" s="5" t="str">
        <f>VLOOKUP(BaseTest!D30,BaseWcag!$A$1:$B$10000,2,TRUE)</f>
        <v>Distinguishable</v>
      </c>
      <c r="E15" s="7" t="str">
        <f>BaseTest!E30</f>
        <v>1.4.3</v>
      </c>
      <c r="F15" s="5" t="str">
        <f>VLOOKUP(E15,BaseWcag!$A$1:$B$10000,2,TRUE)</f>
        <v>Contrast (Minimum)</v>
      </c>
    </row>
    <row r="16" spans="1:6">
      <c r="A16" s="5" t="str">
        <f>BaseTest!G31</f>
        <v>P2</v>
      </c>
      <c r="B16" s="5" t="str">
        <f>BaseTest!B31</f>
        <v>AA</v>
      </c>
      <c r="C16" s="5" t="str">
        <f>VLOOKUP(BaseTest!C31,BaseWcag!$A$1:$B$10000,2,TRUE)</f>
        <v>Perceivable</v>
      </c>
      <c r="D16" s="5" t="str">
        <f>VLOOKUP(BaseTest!D31,BaseWcag!$A$1:$B$10000,2,TRUE)</f>
        <v>Distinguishable</v>
      </c>
      <c r="E16" s="7" t="str">
        <f>BaseTest!E31</f>
        <v>1.4.3</v>
      </c>
      <c r="F16" s="5" t="str">
        <f>VLOOKUP(E16,BaseWcag!$A$1:$B$10000,2,TRUE)</f>
        <v>Contrast (Minimum)</v>
      </c>
    </row>
    <row r="17" spans="1:6">
      <c r="A17" s="5" t="str">
        <f>BaseTest!G32</f>
        <v>P2</v>
      </c>
      <c r="B17" s="5" t="str">
        <f>BaseTest!B32</f>
        <v>AA</v>
      </c>
      <c r="C17" s="5" t="str">
        <f>VLOOKUP(BaseTest!C32,BaseWcag!$A$1:$B$10000,2,TRUE)</f>
        <v>Perceivable</v>
      </c>
      <c r="D17" s="5" t="str">
        <f>VLOOKUP(BaseTest!D32,BaseWcag!$A$1:$B$10000,2,TRUE)</f>
        <v>Distinguishable</v>
      </c>
      <c r="E17" s="7" t="str">
        <f>BaseTest!E32</f>
        <v>1.4.3</v>
      </c>
      <c r="F17" s="5" t="str">
        <f>VLOOKUP(E17,BaseWcag!$A$1:$B$10000,2,TRUE)</f>
        <v>Contrast (Minimum)</v>
      </c>
    </row>
    <row r="18" spans="1:6">
      <c r="A18" s="5" t="str">
        <f>BaseTest!G33</f>
        <v>P2</v>
      </c>
      <c r="B18" s="5" t="str">
        <f>BaseTest!B33</f>
        <v>AA</v>
      </c>
      <c r="C18" s="5" t="str">
        <f>VLOOKUP(BaseTest!C33,BaseWcag!$A$1:$B$10000,2,TRUE)</f>
        <v>Perceivable</v>
      </c>
      <c r="D18" s="5" t="str">
        <f>VLOOKUP(BaseTest!D33,BaseWcag!$A$1:$B$10000,2,TRUE)</f>
        <v>Distinguishable</v>
      </c>
      <c r="E18" s="7" t="str">
        <f>BaseTest!E33</f>
        <v>1.4.3</v>
      </c>
      <c r="F18" s="5" t="str">
        <f>VLOOKUP(E18,BaseWcag!$A$1:$B$10000,2,TRUE)</f>
        <v>Contrast (Minimum)</v>
      </c>
    </row>
    <row r="19" spans="1:6">
      <c r="A19" s="5" t="str">
        <f>BaseTest!G34</f>
        <v>P2</v>
      </c>
      <c r="B19" s="5" t="str">
        <f>BaseTest!B34</f>
        <v>AA</v>
      </c>
      <c r="C19" s="5" t="str">
        <f>VLOOKUP(BaseTest!C34,BaseWcag!$A$1:$B$10000,2,TRUE)</f>
        <v>Perceivable</v>
      </c>
      <c r="D19" s="5" t="str">
        <f>VLOOKUP(BaseTest!D34,BaseWcag!$A$1:$B$10000,2,TRUE)</f>
        <v>Distinguishable</v>
      </c>
      <c r="E19" s="7" t="str">
        <f>BaseTest!E34</f>
        <v>1.4.3</v>
      </c>
      <c r="F19" s="5" t="str">
        <f>VLOOKUP(E19,BaseWcag!$A$1:$B$10000,2,TRUE)</f>
        <v>Contrast (Minimum)</v>
      </c>
    </row>
    <row r="20" spans="1:6">
      <c r="A20" s="5" t="str">
        <f>BaseTest!G35</f>
        <v>P2</v>
      </c>
      <c r="B20" s="5" t="str">
        <f>BaseTest!B35</f>
        <v>AA</v>
      </c>
      <c r="C20" s="5" t="str">
        <f>VLOOKUP(BaseTest!C35,BaseWcag!$A$1:$B$10000,2,TRUE)</f>
        <v>Operable</v>
      </c>
      <c r="D20" s="5" t="str">
        <f>VLOOKUP(BaseTest!D35,BaseWcag!$A$1:$B$10000,2,TRUE)</f>
        <v>Navigable</v>
      </c>
      <c r="E20" s="7" t="str">
        <f>BaseTest!E35</f>
        <v>2.4.2</v>
      </c>
      <c r="F20" s="5" t="str">
        <f>VLOOKUP(E20,BaseWcag!$A$1:$B$10000,2,TRUE)</f>
        <v>Page Titled</v>
      </c>
    </row>
    <row r="21" spans="1:6" ht="15.75" customHeight="1">
      <c r="A21" s="5" t="str">
        <f>BaseTest!G36</f>
        <v>P2</v>
      </c>
      <c r="B21" s="5" t="str">
        <f>BaseTest!B36</f>
        <v>AA</v>
      </c>
      <c r="C21" s="5" t="str">
        <f>VLOOKUP(BaseTest!C36,BaseWcag!$A$1:$B$10000,2,TRUE)</f>
        <v>Perceivable</v>
      </c>
      <c r="D21" s="5" t="str">
        <f>VLOOKUP(BaseTest!D36,BaseWcag!$A$1:$B$10000,2,TRUE)</f>
        <v>Distinguishable</v>
      </c>
      <c r="E21" s="7" t="str">
        <f>BaseTest!E36</f>
        <v>1.4.3</v>
      </c>
      <c r="F21" s="5" t="str">
        <f>VLOOKUP(E21,BaseWcag!$A$1:$B$10000,2,TRUE)</f>
        <v>Contrast (Minimum)</v>
      </c>
    </row>
    <row r="22" spans="1:6" ht="15.75" customHeight="1">
      <c r="A22" s="5" t="str">
        <f>BaseTest!G37</f>
        <v>P2</v>
      </c>
      <c r="B22" s="5" t="str">
        <f>BaseTest!B37</f>
        <v>AA</v>
      </c>
      <c r="C22" s="5" t="str">
        <f>VLOOKUP(BaseTest!C37,BaseWcag!$A$1:$B$10000,2,TRUE)</f>
        <v>Perceivable</v>
      </c>
      <c r="D22" s="5" t="str">
        <f>VLOOKUP(BaseTest!D37,BaseWcag!$A$1:$B$10000,2,TRUE)</f>
        <v>Distinguishable</v>
      </c>
      <c r="E22" s="7" t="str">
        <f>BaseTest!E37</f>
        <v>1.4.3</v>
      </c>
      <c r="F22" s="5" t="str">
        <f>VLOOKUP(E22,BaseWcag!$A$1:$B$10000,2,TRUE)</f>
        <v>Contrast (Minimum)</v>
      </c>
    </row>
    <row r="23" spans="1:6" ht="15.75" customHeight="1">
      <c r="A23" s="5" t="str">
        <f>BaseTest!G38</f>
        <v>P2</v>
      </c>
      <c r="B23" s="5" t="str">
        <f>BaseTest!B38</f>
        <v>AA</v>
      </c>
      <c r="C23" s="5" t="str">
        <f>VLOOKUP(BaseTest!C38,BaseWcag!$A$1:$B$10000,2,TRUE)</f>
        <v>Perceivable</v>
      </c>
      <c r="D23" s="5" t="str">
        <f>VLOOKUP(BaseTest!D38,BaseWcag!$A$1:$B$10000,2,TRUE)</f>
        <v>Distinguishable</v>
      </c>
      <c r="E23" s="7" t="str">
        <f>BaseTest!E38</f>
        <v>1.4.3</v>
      </c>
      <c r="F23" s="5" t="str">
        <f>VLOOKUP(E23,BaseWcag!$A$1:$B$10000,2,TRUE)</f>
        <v>Contrast (Minimum)</v>
      </c>
    </row>
    <row r="24" spans="1:6" ht="15.75" customHeight="1">
      <c r="A24" s="5" t="str">
        <f>BaseTest!G39</f>
        <v>P2</v>
      </c>
      <c r="B24" s="5" t="str">
        <f>BaseTest!B39</f>
        <v>AA</v>
      </c>
      <c r="C24" s="5" t="str">
        <f>VLOOKUP(BaseTest!C39,BaseWcag!$A$1:$B$10000,2,TRUE)</f>
        <v>Operable</v>
      </c>
      <c r="D24" s="5" t="str">
        <f>VLOOKUP(BaseTest!D39,BaseWcag!$A$1:$B$10000,2,TRUE)</f>
        <v>Navigable</v>
      </c>
      <c r="E24" s="7" t="str">
        <f>BaseTest!E39</f>
        <v>2.4.2</v>
      </c>
      <c r="F24" s="5" t="str">
        <f>VLOOKUP(E24,BaseWcag!$A$1:$B$10000,2,TRUE)</f>
        <v>Page Titled</v>
      </c>
    </row>
    <row r="25" spans="1:6" ht="15.75" customHeight="1">
      <c r="A25" s="5" t="str">
        <f>BaseTest!G40</f>
        <v>P2</v>
      </c>
      <c r="B25" s="5" t="str">
        <f>BaseTest!B40</f>
        <v>AA</v>
      </c>
      <c r="C25" s="5" t="str">
        <f>VLOOKUP(BaseTest!C40,BaseWcag!$A$1:$B$10000,2,TRUE)</f>
        <v>Perceivable</v>
      </c>
      <c r="D25" s="5" t="str">
        <f>VLOOKUP(BaseTest!D40,BaseWcag!$A$1:$B$10000,2,TRUE)</f>
        <v>Distinguishable</v>
      </c>
      <c r="E25" s="7" t="str">
        <f>BaseTest!E40</f>
        <v>1.4.3</v>
      </c>
      <c r="F25" s="5" t="str">
        <f>VLOOKUP(E25,BaseWcag!$A$1:$B$10000,2,TRUE)</f>
        <v>Contrast (Minimum)</v>
      </c>
    </row>
    <row r="26" spans="1:6" ht="15.75" customHeight="1">
      <c r="A26" s="5" t="str">
        <f>BaseTest!G41</f>
        <v>P2</v>
      </c>
      <c r="B26" s="5" t="str">
        <f>BaseTest!B41</f>
        <v>AA</v>
      </c>
      <c r="C26" s="5" t="str">
        <f>VLOOKUP(BaseTest!C41,BaseWcag!$A$1:$B$10000,2,TRUE)</f>
        <v>Perceivable</v>
      </c>
      <c r="D26" s="5" t="str">
        <f>VLOOKUP(BaseTest!D41,BaseWcag!$A$1:$B$10000,2,TRUE)</f>
        <v>Distinguishable</v>
      </c>
      <c r="E26" s="7" t="str">
        <f>BaseTest!E41</f>
        <v>1.4.3</v>
      </c>
      <c r="F26" s="5" t="str">
        <f>VLOOKUP(E26,BaseWcag!$A$1:$B$10000,2,TRUE)</f>
        <v>Contrast (Minimum)</v>
      </c>
    </row>
    <row r="27" spans="1:6" ht="15.75" customHeight="1">
      <c r="A27" s="5" t="str">
        <f>BaseTest!G42</f>
        <v>P2</v>
      </c>
      <c r="B27" s="5" t="str">
        <f>BaseTest!B42</f>
        <v>AA</v>
      </c>
      <c r="C27" s="5" t="str">
        <f>VLOOKUP(BaseTest!C42,BaseWcag!$A$1:$B$10000,2,TRUE)</f>
        <v>Operable</v>
      </c>
      <c r="D27" s="5" t="str">
        <f>VLOOKUP(BaseTest!D42,BaseWcag!$A$1:$B$10000,2,TRUE)</f>
        <v>Navigable</v>
      </c>
      <c r="E27" s="7" t="str">
        <f>BaseTest!E42</f>
        <v>2.4.2</v>
      </c>
      <c r="F27" s="5" t="str">
        <f>VLOOKUP(E27,BaseWcag!$A$1:$B$10000,2,TRUE)</f>
        <v>Page Titled</v>
      </c>
    </row>
    <row r="28" spans="1:6" ht="15.75" customHeight="1">
      <c r="A28" s="5" t="str">
        <f>BaseTest!G43</f>
        <v>P2</v>
      </c>
      <c r="B28" s="5" t="str">
        <f>BaseTest!B43</f>
        <v>AA</v>
      </c>
      <c r="C28" s="5" t="str">
        <f>VLOOKUP(BaseTest!C43,BaseWcag!$A$1:$B$10000,2,TRUE)</f>
        <v>Perceivable</v>
      </c>
      <c r="D28" s="5" t="str">
        <f>VLOOKUP(BaseTest!D43,BaseWcag!$A$1:$B$10000,2,TRUE)</f>
        <v>Distinguishable</v>
      </c>
      <c r="E28" s="7" t="str">
        <f>BaseTest!E43</f>
        <v>1.4.3</v>
      </c>
      <c r="F28" s="5" t="str">
        <f>VLOOKUP(E28,BaseWcag!$A$1:$B$10000,2,TRUE)</f>
        <v>Contrast (Minimum)</v>
      </c>
    </row>
    <row r="29" spans="1:6" ht="15.75" customHeight="1">
      <c r="A29" s="5" t="str">
        <f>BaseTest!G44</f>
        <v>P2</v>
      </c>
      <c r="B29" s="5" t="str">
        <f>BaseTest!B44</f>
        <v>AA</v>
      </c>
      <c r="C29" s="5" t="str">
        <f>VLOOKUP(BaseTest!C44,BaseWcag!$A$1:$B$10000,2,TRUE)</f>
        <v>Perceivable</v>
      </c>
      <c r="D29" s="5" t="str">
        <f>VLOOKUP(BaseTest!D44,BaseWcag!$A$1:$B$10000,2,TRUE)</f>
        <v>Distinguishable</v>
      </c>
      <c r="E29" s="7" t="str">
        <f>BaseTest!E44</f>
        <v>1.4.3</v>
      </c>
      <c r="F29" s="5" t="str">
        <f>VLOOKUP(E29,BaseWcag!$A$1:$B$10000,2,TRUE)</f>
        <v>Contrast (Minimum)</v>
      </c>
    </row>
    <row r="30" spans="1:6" ht="15.75" customHeight="1">
      <c r="A30" s="5" t="str">
        <f>BaseTest!G45</f>
        <v>P2</v>
      </c>
      <c r="B30" s="5" t="str">
        <f>BaseTest!B45</f>
        <v>AA</v>
      </c>
      <c r="C30" s="5" t="str">
        <f>VLOOKUP(BaseTest!C45,BaseWcag!$A$1:$B$10000,2,TRUE)</f>
        <v>Robust</v>
      </c>
      <c r="D30" s="5" t="str">
        <f>VLOOKUP(BaseTest!D45,BaseWcag!$A$1:$B$10000,2,TRUE)</f>
        <v>Compatible</v>
      </c>
      <c r="E30" s="7" t="str">
        <f>BaseTest!E45</f>
        <v>4.1.2</v>
      </c>
      <c r="F30" s="5" t="str">
        <f>VLOOKUP(E30,BaseWcag!$A$1:$B$10000,2,TRUE)</f>
        <v>Name, Role, Value</v>
      </c>
    </row>
    <row r="31" spans="1:6" ht="15.75" customHeight="1">
      <c r="A31" s="5" t="str">
        <f>BaseTest!G46</f>
        <v>P2</v>
      </c>
      <c r="B31" s="5" t="str">
        <f>BaseTest!B46</f>
        <v>AA</v>
      </c>
      <c r="C31" s="5" t="str">
        <f>VLOOKUP(BaseTest!C46,BaseWcag!$A$1:$B$10000,2,TRUE)</f>
        <v>Perceivable</v>
      </c>
      <c r="D31" s="5" t="str">
        <f>VLOOKUP(BaseTest!D46,BaseWcag!$A$1:$B$10000,2,TRUE)</f>
        <v>Distinguishable</v>
      </c>
      <c r="E31" s="7" t="str">
        <f>BaseTest!E46</f>
        <v>1.4.3</v>
      </c>
      <c r="F31" s="5" t="str">
        <f>VLOOKUP(E31,BaseWcag!$A$1:$B$10000,2,TRUE)</f>
        <v>Contrast (Minimum)</v>
      </c>
    </row>
    <row r="32" spans="1:6" ht="15.75" customHeight="1">
      <c r="A32" s="5" t="str">
        <f>BaseTest!G47</f>
        <v>P2</v>
      </c>
      <c r="B32" s="5" t="str">
        <f>BaseTest!B47</f>
        <v>AA</v>
      </c>
      <c r="C32" s="5" t="str">
        <f>VLOOKUP(BaseTest!C47,BaseWcag!$A$1:$B$10000,2,TRUE)</f>
        <v>Robust</v>
      </c>
      <c r="D32" s="5" t="str">
        <f>VLOOKUP(BaseTest!D47,BaseWcag!$A$1:$B$10000,2,TRUE)</f>
        <v>Compatible</v>
      </c>
      <c r="E32" s="7" t="str">
        <f>BaseTest!E47</f>
        <v>4.1.2</v>
      </c>
      <c r="F32" s="5" t="str">
        <f>VLOOKUP(E32,BaseWcag!$A$1:$B$10000,2,TRUE)</f>
        <v>Name, Role, Value</v>
      </c>
    </row>
    <row r="33" spans="1:6" ht="15.75" customHeight="1">
      <c r="A33" s="5" t="str">
        <f>BaseTest!G48</f>
        <v>P2</v>
      </c>
      <c r="B33" s="5" t="str">
        <f>BaseTest!B48</f>
        <v>AA</v>
      </c>
      <c r="C33" s="5" t="str">
        <f>VLOOKUP(BaseTest!C48,BaseWcag!$A$1:$B$10000,2,TRUE)</f>
        <v>Perceivable</v>
      </c>
      <c r="D33" s="5" t="str">
        <f>VLOOKUP(BaseTest!D48,BaseWcag!$A$1:$B$10000,2,TRUE)</f>
        <v>Adaptable</v>
      </c>
      <c r="E33" s="7" t="str">
        <f>BaseTest!E48</f>
        <v>1.3.1</v>
      </c>
      <c r="F33" s="5" t="str">
        <f>VLOOKUP(E33,BaseWcag!$A$1:$B$10000,2,TRUE)</f>
        <v>Info and Relationships</v>
      </c>
    </row>
    <row r="34" spans="1:6" ht="15.75" customHeight="1">
      <c r="A34" s="5" t="str">
        <f>BaseTest!G49</f>
        <v>P2</v>
      </c>
      <c r="B34" s="5" t="str">
        <f>BaseTest!B49</f>
        <v>AA</v>
      </c>
      <c r="C34" s="5" t="str">
        <f>VLOOKUP(BaseTest!C49,BaseWcag!$A$1:$B$10000,2,TRUE)</f>
        <v>Robust</v>
      </c>
      <c r="D34" s="5" t="str">
        <f>VLOOKUP(BaseTest!D49,BaseWcag!$A$1:$B$10000,2,TRUE)</f>
        <v>Compatible</v>
      </c>
      <c r="E34" s="7" t="str">
        <f>BaseTest!E49</f>
        <v>4.1.2</v>
      </c>
      <c r="F34" s="5" t="str">
        <f>VLOOKUP(E34,BaseWcag!$A$1:$B$10000,2,TRUE)</f>
        <v>Name, Role, Value</v>
      </c>
    </row>
    <row r="35" spans="1:6" ht="15.75" customHeight="1">
      <c r="A35" s="5" t="str">
        <f>BaseTest!G50</f>
        <v>P2</v>
      </c>
      <c r="B35" s="5" t="str">
        <f>BaseTest!B50</f>
        <v>AA</v>
      </c>
      <c r="C35" s="5" t="str">
        <f>VLOOKUP(BaseTest!C50,BaseWcag!$A$1:$B$10000,2,TRUE)</f>
        <v>Perceivable</v>
      </c>
      <c r="D35" s="5" t="str">
        <f>VLOOKUP(BaseTest!D50,BaseWcag!$A$1:$B$10000,2,TRUE)</f>
        <v>Adaptable</v>
      </c>
      <c r="E35" s="7" t="str">
        <f>BaseTest!E50</f>
        <v>1.3.1</v>
      </c>
      <c r="F35" s="5" t="str">
        <f>VLOOKUP(E35,BaseWcag!$A$1:$B$10000,2,TRUE)</f>
        <v>Info and Relationships</v>
      </c>
    </row>
    <row r="36" spans="1:6" ht="15.75" customHeight="1">
      <c r="A36" s="5" t="str">
        <f>BaseTest!G51</f>
        <v>P2</v>
      </c>
      <c r="B36" s="5" t="str">
        <f>BaseTest!B51</f>
        <v>AA</v>
      </c>
      <c r="C36" s="5" t="str">
        <f>VLOOKUP(BaseTest!C51,BaseWcag!$A$1:$B$10000,2,TRUE)</f>
        <v>Robust</v>
      </c>
      <c r="D36" s="5" t="str">
        <f>VLOOKUP(BaseTest!D51,BaseWcag!$A$1:$B$10000,2,TRUE)</f>
        <v>Compatible</v>
      </c>
      <c r="E36" s="7" t="str">
        <f>BaseTest!E51</f>
        <v>4.1.2</v>
      </c>
      <c r="F36" s="5" t="str">
        <f>VLOOKUP(E36,BaseWcag!$A$1:$B$10000,2,TRUE)</f>
        <v>Name, Role, Value</v>
      </c>
    </row>
    <row r="37" spans="1:6" ht="15.75" customHeight="1">
      <c r="A37" s="5" t="str">
        <f>BaseTest!G52</f>
        <v>P2</v>
      </c>
      <c r="B37" s="5" t="str">
        <f>BaseTest!B52</f>
        <v>AA</v>
      </c>
      <c r="C37" s="5" t="str">
        <f>VLOOKUP(BaseTest!C52,BaseWcag!$A$1:$B$10000,2,TRUE)</f>
        <v>Perceivable</v>
      </c>
      <c r="D37" s="5" t="str">
        <f>VLOOKUP(BaseTest!D52,BaseWcag!$A$1:$B$10000,2,TRUE)</f>
        <v>Adaptable</v>
      </c>
      <c r="E37" s="7" t="str">
        <f>BaseTest!E52</f>
        <v>1.3.1</v>
      </c>
      <c r="F37" s="5" t="str">
        <f>VLOOKUP(E37,BaseWcag!$A$1:$B$10000,2,TRUE)</f>
        <v>Info and Relationships</v>
      </c>
    </row>
    <row r="38" spans="1:6" ht="15.75" customHeight="1">
      <c r="A38" s="5" t="str">
        <f>BaseTest!G53</f>
        <v>P2</v>
      </c>
      <c r="B38" s="5" t="str">
        <f>BaseTest!B53</f>
        <v>AA</v>
      </c>
      <c r="C38" s="5" t="str">
        <f>VLOOKUP(BaseTest!C53,BaseWcag!$A$1:$B$10000,2,TRUE)</f>
        <v>Robust</v>
      </c>
      <c r="D38" s="5" t="str">
        <f>VLOOKUP(BaseTest!D53,BaseWcag!$A$1:$B$10000,2,TRUE)</f>
        <v>Compatible</v>
      </c>
      <c r="E38" s="7" t="str">
        <f>BaseTest!E53</f>
        <v>4.1.2</v>
      </c>
      <c r="F38" s="5" t="str">
        <f>VLOOKUP(E38,BaseWcag!$A$1:$B$10000,2,TRUE)</f>
        <v>Name, Role, Value</v>
      </c>
    </row>
    <row r="39" spans="1:6" ht="15.75" customHeight="1">
      <c r="A39" s="5" t="str">
        <f>BaseTest!G54</f>
        <v>P2</v>
      </c>
      <c r="B39" s="5" t="str">
        <f>BaseTest!B54</f>
        <v>AA</v>
      </c>
      <c r="C39" s="5" t="str">
        <f>VLOOKUP(BaseTest!C54,BaseWcag!$A$1:$B$10000,2,TRUE)</f>
        <v>Perceivable</v>
      </c>
      <c r="D39" s="5" t="str">
        <f>VLOOKUP(BaseTest!D54,BaseWcag!$A$1:$B$10000,2,TRUE)</f>
        <v>Adaptable</v>
      </c>
      <c r="E39" s="7" t="str">
        <f>BaseTest!E54</f>
        <v>1.3.1</v>
      </c>
      <c r="F39" s="5" t="str">
        <f>VLOOKUP(E39,BaseWcag!$A$1:$B$10000,2,TRUE)</f>
        <v>Info and Relationships</v>
      </c>
    </row>
    <row r="40" spans="1:6" ht="15.75" customHeight="1">
      <c r="A40" s="5" t="str">
        <f>BaseTest!G62</f>
        <v>P2</v>
      </c>
      <c r="B40" s="5" t="str">
        <f>BaseTest!B62</f>
        <v>AA</v>
      </c>
      <c r="C40" s="5" t="str">
        <f>VLOOKUP(BaseTest!C62,BaseWcag!$A$1:$B$10000,2,TRUE)</f>
        <v>Robust</v>
      </c>
      <c r="D40" s="5" t="str">
        <f>VLOOKUP(BaseTest!D62,BaseWcag!$A$1:$B$10000,2,TRUE)</f>
        <v>Compatible</v>
      </c>
      <c r="E40" s="7" t="str">
        <f>BaseTest!E62</f>
        <v>4.1.2</v>
      </c>
      <c r="F40" s="5" t="str">
        <f>VLOOKUP(E40,BaseWcag!$A$1:$B$10000,2,TRUE)</f>
        <v>Name, Role, Value</v>
      </c>
    </row>
    <row r="41" spans="1:6" ht="15.75" customHeight="1">
      <c r="A41" s="5" t="str">
        <f>BaseTest!G63</f>
        <v>P2</v>
      </c>
      <c r="B41" s="5" t="str">
        <f>BaseTest!B63</f>
        <v>AA</v>
      </c>
      <c r="C41" s="5" t="str">
        <f>VLOOKUP(BaseTest!C63,BaseWcag!$A$1:$B$10000,2,TRUE)</f>
        <v>Perceivable</v>
      </c>
      <c r="D41" s="5" t="str">
        <f>VLOOKUP(BaseTest!D63,BaseWcag!$A$1:$B$10000,2,TRUE)</f>
        <v>Adaptable</v>
      </c>
      <c r="E41" s="7" t="str">
        <f>BaseTest!E63</f>
        <v>1.3.1</v>
      </c>
      <c r="F41" s="5" t="str">
        <f>VLOOKUP(E41,BaseWcag!$A$1:$B$10000,2,TRUE)</f>
        <v>Info and Relationships</v>
      </c>
    </row>
    <row r="42" spans="1:6" ht="15.75" customHeight="1">
      <c r="A42" s="5" t="str">
        <f>BaseTest!G64</f>
        <v>P2</v>
      </c>
      <c r="B42" s="5" t="str">
        <f>BaseTest!B64</f>
        <v>AA</v>
      </c>
      <c r="C42" s="5" t="str">
        <f>VLOOKUP(BaseTest!C64,BaseWcag!$A$1:$B$10000,2,TRUE)</f>
        <v>Robust</v>
      </c>
      <c r="D42" s="5" t="str">
        <f>VLOOKUP(BaseTest!D64,BaseWcag!$A$1:$B$10000,2,TRUE)</f>
        <v>Compatible</v>
      </c>
      <c r="E42" s="7" t="str">
        <f>BaseTest!E64</f>
        <v>4.1.2</v>
      </c>
      <c r="F42" s="5" t="str">
        <f>VLOOKUP(E42,BaseWcag!$A$1:$B$10000,2,TRUE)</f>
        <v>Name, Role, Value</v>
      </c>
    </row>
    <row r="43" spans="1:6" ht="15.75" customHeight="1">
      <c r="A43" s="5" t="str">
        <f>BaseTest!G65</f>
        <v>P2</v>
      </c>
      <c r="B43" s="5" t="str">
        <f>BaseTest!B65</f>
        <v>AA</v>
      </c>
      <c r="C43" s="5" t="str">
        <f>VLOOKUP(BaseTest!C65,BaseWcag!$A$1:$B$10000,2,TRUE)</f>
        <v>Perceivable</v>
      </c>
      <c r="D43" s="5" t="str">
        <f>VLOOKUP(BaseTest!D65,BaseWcag!$A$1:$B$10000,2,TRUE)</f>
        <v>Adaptable</v>
      </c>
      <c r="E43" s="7" t="str">
        <f>BaseTest!E65</f>
        <v>1.3.1</v>
      </c>
      <c r="F43" s="5" t="str">
        <f>VLOOKUP(E43,BaseWcag!$A$1:$B$10000,2,TRUE)</f>
        <v>Info and Relationships</v>
      </c>
    </row>
    <row r="44" spans="1:6" ht="15.75" customHeight="1">
      <c r="A44" s="5" t="str">
        <f>BaseTest!G66</f>
        <v>P2</v>
      </c>
      <c r="B44" s="5" t="str">
        <f>BaseTest!B66</f>
        <v>AA</v>
      </c>
      <c r="C44" s="5" t="str">
        <f>VLOOKUP(BaseTest!C66,BaseWcag!$A$1:$B$10000,2,TRUE)</f>
        <v>Robust</v>
      </c>
      <c r="D44" s="5" t="str">
        <f>VLOOKUP(BaseTest!D66,BaseWcag!$A$1:$B$10000,2,TRUE)</f>
        <v>Compatible</v>
      </c>
      <c r="E44" s="7" t="str">
        <f>BaseTest!E66</f>
        <v>4.1.2</v>
      </c>
      <c r="F44" s="5" t="str">
        <f>VLOOKUP(E44,BaseWcag!$A$1:$B$10000,2,TRUE)</f>
        <v>Name, Role, Value</v>
      </c>
    </row>
    <row r="45" spans="1:6" ht="15.75" customHeight="1">
      <c r="A45" s="5" t="str">
        <f>BaseTest!G67</f>
        <v>P2</v>
      </c>
      <c r="B45" s="5" t="str">
        <f>BaseTest!B67</f>
        <v>AA</v>
      </c>
      <c r="C45" s="5" t="str">
        <f>VLOOKUP(BaseTest!C67,BaseWcag!$A$1:$B$10000,2,TRUE)</f>
        <v>Perceivable</v>
      </c>
      <c r="D45" s="5" t="str">
        <f>VLOOKUP(BaseTest!D67,BaseWcag!$A$1:$B$10000,2,TRUE)</f>
        <v>Adaptable</v>
      </c>
      <c r="E45" s="7" t="str">
        <f>BaseTest!E67</f>
        <v>1.3.1</v>
      </c>
      <c r="F45" s="5" t="str">
        <f>VLOOKUP(E45,BaseWcag!$A$1:$B$10000,2,TRUE)</f>
        <v>Info and Relationships</v>
      </c>
    </row>
    <row r="46" spans="1:6" ht="15.75" customHeight="1">
      <c r="A46" s="5" t="str">
        <f>BaseTest!G68</f>
        <v>P2</v>
      </c>
      <c r="B46" s="5" t="str">
        <f>BaseTest!B68</f>
        <v>AA</v>
      </c>
      <c r="C46" s="5" t="str">
        <f>VLOOKUP(BaseTest!C68,BaseWcag!$A$1:$B$10000,2,TRUE)</f>
        <v>Perceivable</v>
      </c>
      <c r="D46" s="5" t="str">
        <f>VLOOKUP(BaseTest!D68,BaseWcag!$A$1:$B$10000,2,TRUE)</f>
        <v>Distinguishable</v>
      </c>
      <c r="E46" s="7" t="str">
        <f>BaseTest!E68</f>
        <v>1.4.3</v>
      </c>
      <c r="F46" s="5" t="str">
        <f>VLOOKUP(E46,BaseWcag!$A$1:$B$10000,2,TRUE)</f>
        <v>Contrast (Minimum)</v>
      </c>
    </row>
    <row r="47" spans="1:6" ht="15.75" customHeight="1">
      <c r="A47" s="5" t="str">
        <f>BaseTest!G5</f>
        <v>P1</v>
      </c>
      <c r="B47" s="5" t="str">
        <f>BaseTest!B5</f>
        <v>AA</v>
      </c>
      <c r="C47" s="5" t="str">
        <f>VLOOKUP(BaseTest!C5,BaseWcag!$A$1:$B$10000,2,TRUE)</f>
        <v>Perceivable</v>
      </c>
      <c r="D47" s="5" t="str">
        <f>VLOOKUP(BaseTest!D5,BaseWcag!$A$1:$B$10000,2,TRUE)</f>
        <v>Distinguishable</v>
      </c>
      <c r="E47" s="7" t="str">
        <f>BaseTest!E5</f>
        <v>1.4.3</v>
      </c>
      <c r="F47" s="5" t="str">
        <f>VLOOKUP(E47,BaseWcag!$A$1:$B$10000,2,TRUE)</f>
        <v>Contrast (Minimum)</v>
      </c>
    </row>
    <row r="48" spans="1:6" ht="15.75" customHeight="1">
      <c r="A48" s="5" t="str">
        <f>BaseTest!G6</f>
        <v>P1</v>
      </c>
      <c r="B48" s="5" t="str">
        <f>BaseTest!B6</f>
        <v>AA</v>
      </c>
      <c r="C48" s="5" t="str">
        <f>VLOOKUP(BaseTest!C6,BaseWcag!$A$1:$B$10000,2,TRUE)</f>
        <v>Robust</v>
      </c>
      <c r="D48" s="5" t="str">
        <f>VLOOKUP(BaseTest!D6,BaseWcag!$A$1:$B$10000,2,TRUE)</f>
        <v>Compatible</v>
      </c>
      <c r="E48" s="7" t="str">
        <f>BaseTest!E6</f>
        <v>4.1.2</v>
      </c>
      <c r="F48" s="5" t="str">
        <f>VLOOKUP(E48,BaseWcag!$A$1:$B$10000,2,TRUE)</f>
        <v>Name, Role, Value</v>
      </c>
    </row>
    <row r="49" spans="1:6" ht="15.75" customHeight="1">
      <c r="A49" s="5" t="str">
        <f>BaseTest!G7</f>
        <v>P1</v>
      </c>
      <c r="B49" s="5" t="str">
        <f>BaseTest!B7</f>
        <v>AA</v>
      </c>
      <c r="C49" s="5" t="str">
        <f>VLOOKUP(BaseTest!C7,BaseWcag!$A$1:$B$10000,2,TRUE)</f>
        <v>Perceivable</v>
      </c>
      <c r="D49" s="5" t="str">
        <f>VLOOKUP(BaseTest!D7,BaseWcag!$A$1:$B$10000,2,TRUE)</f>
        <v>Adaptable</v>
      </c>
      <c r="E49" s="7" t="str">
        <f>BaseTest!E7</f>
        <v>1.3.1</v>
      </c>
      <c r="F49" s="5" t="str">
        <f>VLOOKUP(E49,BaseWcag!$A$1:$B$10000,2,TRUE)</f>
        <v>Info and Relationships</v>
      </c>
    </row>
    <row r="50" spans="1:6" ht="15.75" customHeight="1">
      <c r="A50" s="5" t="str">
        <f>BaseTest!G8</f>
        <v>P1</v>
      </c>
      <c r="B50" s="5" t="str">
        <f>BaseTest!B8</f>
        <v>AA</v>
      </c>
      <c r="C50" s="5" t="str">
        <f>VLOOKUP(BaseTest!C8,BaseWcag!$A$1:$B$10000,2,TRUE)</f>
        <v>Operable</v>
      </c>
      <c r="D50" s="5" t="str">
        <f>VLOOKUP(BaseTest!D8,BaseWcag!$A$1:$B$10000,2,TRUE)</f>
        <v>Navigable</v>
      </c>
      <c r="E50" s="7" t="str">
        <f>BaseTest!E8</f>
        <v>2.4.2</v>
      </c>
      <c r="F50" s="5" t="str">
        <f>VLOOKUP(E50,BaseWcag!$A$1:$B$10000,2,TRUE)</f>
        <v>Page Titled</v>
      </c>
    </row>
    <row r="51" spans="1:6" ht="15.75" customHeight="1">
      <c r="A51" s="5" t="str">
        <f>BaseTest!G9</f>
        <v>P1</v>
      </c>
      <c r="B51" s="5" t="str">
        <f>BaseTest!B9</f>
        <v>AA</v>
      </c>
      <c r="C51" s="5" t="str">
        <f>VLOOKUP(BaseTest!C9,BaseWcag!$A$1:$B$10000,2,TRUE)</f>
        <v>Perceivable</v>
      </c>
      <c r="D51" s="5" t="str">
        <f>VLOOKUP(BaseTest!D9,BaseWcag!$A$1:$B$10000,2,TRUE)</f>
        <v>Distinguishable</v>
      </c>
      <c r="E51" s="7" t="str">
        <f>BaseTest!E9</f>
        <v>1.4.3</v>
      </c>
      <c r="F51" s="5" t="str">
        <f>VLOOKUP(E51,BaseWcag!$A$1:$B$10000,2,TRUE)</f>
        <v>Contrast (Minimum)</v>
      </c>
    </row>
    <row r="52" spans="1:6" ht="15.75" customHeight="1">
      <c r="A52" s="5" t="str">
        <f>BaseTest!G10</f>
        <v>P1</v>
      </c>
      <c r="B52" s="5" t="str">
        <f>BaseTest!B10</f>
        <v>AA</v>
      </c>
      <c r="C52" s="5" t="str">
        <f>VLOOKUP(BaseTest!C10,BaseWcag!$A$1:$B$10000,2,TRUE)</f>
        <v>Operable</v>
      </c>
      <c r="D52" s="5" t="str">
        <f>VLOOKUP(BaseTest!D10,BaseWcag!$A$1:$B$10000,2,TRUE)</f>
        <v>Navigable</v>
      </c>
      <c r="E52" s="7" t="str">
        <f>BaseTest!E10</f>
        <v>2.4.2</v>
      </c>
      <c r="F52" s="5" t="str">
        <f>VLOOKUP(E52,BaseWcag!$A$1:$B$10000,2,TRUE)</f>
        <v>Page Titled</v>
      </c>
    </row>
    <row r="53" spans="1:6" ht="15.75" customHeight="1">
      <c r="A53" s="5" t="str">
        <f>BaseTest!G11</f>
        <v>P1</v>
      </c>
      <c r="B53" s="5" t="str">
        <f>BaseTest!B11</f>
        <v>AA</v>
      </c>
      <c r="C53" s="5" t="str">
        <f>VLOOKUP(BaseTest!C11,BaseWcag!$A$1:$B$10000,2,TRUE)</f>
        <v>Perceivable</v>
      </c>
      <c r="D53" s="5" t="str">
        <f>VLOOKUP(BaseTest!D11,BaseWcag!$A$1:$B$10000,2,TRUE)</f>
        <v>Distinguishable</v>
      </c>
      <c r="E53" s="7" t="str">
        <f>BaseTest!E11</f>
        <v>1.4.3</v>
      </c>
      <c r="F53" s="5" t="str">
        <f>VLOOKUP(E53,BaseWcag!$A$1:$B$10000,2,TRUE)</f>
        <v>Contrast (Minimum)</v>
      </c>
    </row>
    <row r="54" spans="1:6" ht="15.75" customHeight="1">
      <c r="A54" s="5" t="str">
        <f>BaseTest!G12</f>
        <v>P1</v>
      </c>
      <c r="B54" s="5" t="str">
        <f>BaseTest!B12</f>
        <v>AA</v>
      </c>
      <c r="C54" s="5" t="str">
        <f>VLOOKUP(BaseTest!C12,BaseWcag!$A$1:$B$10000,2,TRUE)</f>
        <v>Operable</v>
      </c>
      <c r="D54" s="5" t="str">
        <f>VLOOKUP(BaseTest!D12,BaseWcag!$A$1:$B$10000,2,TRUE)</f>
        <v>Navigable</v>
      </c>
      <c r="E54" s="7" t="str">
        <f>BaseTest!E12</f>
        <v>2.4.2</v>
      </c>
      <c r="F54" s="5" t="str">
        <f>VLOOKUP(E54,BaseWcag!$A$1:$B$10000,2,TRUE)</f>
        <v>Page Titled</v>
      </c>
    </row>
    <row r="55" spans="1:6" ht="15.75" customHeight="1">
      <c r="A55" s="5" t="str">
        <f>BaseTest!G13</f>
        <v>P1</v>
      </c>
      <c r="B55" s="5" t="str">
        <f>BaseTest!B13</f>
        <v>AA</v>
      </c>
      <c r="C55" s="5" t="str">
        <f>VLOOKUP(BaseTest!C13,BaseWcag!$A$1:$B$10000,2,TRUE)</f>
        <v>Perceivable</v>
      </c>
      <c r="D55" s="5" t="str">
        <f>VLOOKUP(BaseTest!D13,BaseWcag!$A$1:$B$10000,2,TRUE)</f>
        <v>Distinguishable</v>
      </c>
      <c r="E55" s="7" t="str">
        <f>BaseTest!E13</f>
        <v>1.4.3</v>
      </c>
      <c r="F55" s="5" t="str">
        <f>VLOOKUP(E55,BaseWcag!$A$1:$B$10000,2,TRUE)</f>
        <v>Contrast (Minimum)</v>
      </c>
    </row>
    <row r="56" spans="1:6" ht="15.75" customHeight="1">
      <c r="A56" s="5" t="str">
        <f>BaseTest!G14</f>
        <v>P1</v>
      </c>
      <c r="B56" s="5" t="str">
        <f>BaseTest!B14</f>
        <v>AA</v>
      </c>
      <c r="C56" s="5" t="str">
        <f>VLOOKUP(BaseTest!C14,BaseWcag!$A$1:$B$10000,2,TRUE)</f>
        <v>Operable</v>
      </c>
      <c r="D56" s="5" t="str">
        <f>VLOOKUP(BaseTest!D14,BaseWcag!$A$1:$B$10000,2,TRUE)</f>
        <v>Navigable</v>
      </c>
      <c r="E56" s="7" t="str">
        <f>BaseTest!E14</f>
        <v>2.4.2</v>
      </c>
      <c r="F56" s="5" t="str">
        <f>VLOOKUP(E56,BaseWcag!$A$1:$B$10000,2,TRUE)</f>
        <v>Page Titled</v>
      </c>
    </row>
    <row r="57" spans="1:6" ht="15.75" customHeight="1">
      <c r="A57" s="5" t="str">
        <f>BaseTest!G15</f>
        <v>P1</v>
      </c>
      <c r="B57" s="5" t="str">
        <f>BaseTest!B15</f>
        <v>AA</v>
      </c>
      <c r="C57" s="5" t="str">
        <f>VLOOKUP(BaseTest!C15,BaseWcag!$A$1:$B$10000,2,TRUE)</f>
        <v>Perceivable</v>
      </c>
      <c r="D57" s="5" t="str">
        <f>VLOOKUP(BaseTest!D15,BaseWcag!$A$1:$B$10000,2,TRUE)</f>
        <v>Distinguishable</v>
      </c>
      <c r="E57" s="7" t="str">
        <f>BaseTest!E15</f>
        <v>1.4.3</v>
      </c>
      <c r="F57" s="5" t="str">
        <f>VLOOKUP(E57,BaseWcag!$A$1:$B$10000,2,TRUE)</f>
        <v>Contrast (Minimum)</v>
      </c>
    </row>
    <row r="58" spans="1:6" ht="15.75" customHeight="1">
      <c r="A58" s="5" t="str">
        <f>BaseTest!G16</f>
        <v>P1</v>
      </c>
      <c r="B58" s="5" t="str">
        <f>BaseTest!B16</f>
        <v>AA</v>
      </c>
      <c r="C58" s="5" t="str">
        <f>VLOOKUP(BaseTest!C16,BaseWcag!$A$1:$B$10000,2,TRUE)</f>
        <v>Operable</v>
      </c>
      <c r="D58" s="5" t="str">
        <f>VLOOKUP(BaseTest!D16,BaseWcag!$A$1:$B$10000,2,TRUE)</f>
        <v>Navigable</v>
      </c>
      <c r="E58" s="7" t="str">
        <f>BaseTest!E16</f>
        <v>2.4.1</v>
      </c>
      <c r="F58" s="5" t="str">
        <f>VLOOKUP(E58,BaseWcag!$A$1:$B$10000,2,TRUE)</f>
        <v>Bypass Blocks</v>
      </c>
    </row>
    <row r="59" spans="1:6" ht="15.75" customHeight="1">
      <c r="A59" s="5" t="str">
        <f>BaseTest!G55</f>
        <v>P2</v>
      </c>
      <c r="B59" s="5" t="str">
        <f>BaseTest!B55</f>
        <v>AA</v>
      </c>
      <c r="C59" s="5" t="str">
        <f>VLOOKUP(BaseTest!C55,BaseWcag!$A$1:$B$10000,2,TRUE)</f>
        <v>Robust</v>
      </c>
      <c r="D59" s="5" t="str">
        <f>VLOOKUP(BaseTest!D55,BaseWcag!$A$1:$B$10000,2,TRUE)</f>
        <v>Compatible</v>
      </c>
      <c r="E59" s="7" t="str">
        <f>BaseTest!E55</f>
        <v>4.1.2</v>
      </c>
      <c r="F59" s="5" t="str">
        <f>VLOOKUP(E59,BaseWcag!$A$1:$B$10000,2,TRUE)</f>
        <v>Name, Role, Value</v>
      </c>
    </row>
    <row r="60" spans="1:6" ht="15.75" customHeight="1">
      <c r="A60" s="5" t="str">
        <f>BaseTest!G56</f>
        <v>P2</v>
      </c>
      <c r="B60" s="5" t="str">
        <f>BaseTest!B56</f>
        <v>AA</v>
      </c>
      <c r="C60" s="5" t="str">
        <f>VLOOKUP(BaseTest!C56,BaseWcag!$A$1:$B$10000,2,TRUE)</f>
        <v>Perceivable</v>
      </c>
      <c r="D60" s="5" t="str">
        <f>VLOOKUP(BaseTest!D56,BaseWcag!$A$1:$B$10000,2,TRUE)</f>
        <v>Adaptable</v>
      </c>
      <c r="E60" s="7" t="str">
        <f>BaseTest!E56</f>
        <v>1.3.1</v>
      </c>
      <c r="F60" s="5" t="str">
        <f>VLOOKUP(E60,BaseWcag!$A$1:$B$10000,2,TRUE)</f>
        <v>Info and Relationships</v>
      </c>
    </row>
    <row r="61" spans="1:6" ht="15.75" customHeight="1">
      <c r="A61" s="5" t="str">
        <f>BaseTest!G57</f>
        <v>P2</v>
      </c>
      <c r="B61" s="5" t="str">
        <f>BaseTest!B57</f>
        <v>AA</v>
      </c>
      <c r="C61" s="5" t="str">
        <f>VLOOKUP(BaseTest!C57,BaseWcag!$A$1:$B$10000,2,TRUE)</f>
        <v>Perceivable</v>
      </c>
      <c r="D61" s="5" t="str">
        <f>VLOOKUP(BaseTest!D57,BaseWcag!$A$1:$B$10000,2,TRUE)</f>
        <v>Distinguishable</v>
      </c>
      <c r="E61" s="7" t="str">
        <f>BaseTest!E57</f>
        <v>1.4.3</v>
      </c>
      <c r="F61" s="5" t="str">
        <f>VLOOKUP(E61,BaseWcag!$A$1:$B$10000,2,TRUE)</f>
        <v>Contrast (Minimum)</v>
      </c>
    </row>
    <row r="62" spans="1:6" ht="15.75" customHeight="1">
      <c r="A62" s="5" t="str">
        <f>BaseTest!G58</f>
        <v>P2</v>
      </c>
      <c r="B62" s="5" t="str">
        <f>BaseTest!B58</f>
        <v>AA</v>
      </c>
      <c r="C62" s="5" t="str">
        <f>VLOOKUP(BaseTest!C58,BaseWcag!$A$1:$B$10000,2,TRUE)</f>
        <v>Robust</v>
      </c>
      <c r="D62" s="5" t="str">
        <f>VLOOKUP(BaseTest!D58,BaseWcag!$A$1:$B$10000,2,TRUE)</f>
        <v>Compatible</v>
      </c>
      <c r="E62" s="7" t="str">
        <f>BaseTest!E58</f>
        <v>4.1.2</v>
      </c>
      <c r="F62" s="5" t="str">
        <f>VLOOKUP(E62,BaseWcag!$A$1:$B$10000,2,TRUE)</f>
        <v>Name, Role, Value</v>
      </c>
    </row>
    <row r="63" spans="1:6" ht="15.75" customHeight="1">
      <c r="A63" s="5" t="str">
        <f>BaseTest!G59</f>
        <v>P2</v>
      </c>
      <c r="B63" s="5" t="str">
        <f>BaseTest!B59</f>
        <v>AA</v>
      </c>
      <c r="C63" s="5" t="str">
        <f>VLOOKUP(BaseTest!C59,BaseWcag!$A$1:$B$10000,2,TRUE)</f>
        <v>Perceivable</v>
      </c>
      <c r="D63" s="5" t="str">
        <f>VLOOKUP(BaseTest!D59,BaseWcag!$A$1:$B$10000,2,TRUE)</f>
        <v>Adaptable</v>
      </c>
      <c r="E63" s="7" t="str">
        <f>BaseTest!E59</f>
        <v>1.3.1</v>
      </c>
      <c r="F63" s="5" t="str">
        <f>VLOOKUP(E63,BaseWcag!$A$1:$B$10000,2,TRUE)</f>
        <v>Info and Relationships</v>
      </c>
    </row>
    <row r="64" spans="1:6" ht="15.75" customHeight="1">
      <c r="A64" s="5" t="str">
        <f>BaseTest!G60</f>
        <v>P2</v>
      </c>
      <c r="B64" s="5" t="str">
        <f>BaseTest!B60</f>
        <v>AA</v>
      </c>
      <c r="C64" s="5" t="str">
        <f>VLOOKUP(BaseTest!C60,BaseWcag!$A$1:$B$10000,2,TRUE)</f>
        <v>Robust</v>
      </c>
      <c r="D64" s="5" t="str">
        <f>VLOOKUP(BaseTest!D60,BaseWcag!$A$1:$B$10000,2,TRUE)</f>
        <v>Compatible</v>
      </c>
      <c r="E64" s="7" t="str">
        <f>BaseTest!E60</f>
        <v>4.1.2</v>
      </c>
      <c r="F64" s="5" t="str">
        <f>VLOOKUP(E64,BaseWcag!$A$1:$B$10000,2,TRUE)</f>
        <v>Name, Role, Value</v>
      </c>
    </row>
    <row r="65" spans="1:6" ht="15.75" customHeight="1">
      <c r="A65" s="5" t="str">
        <f>BaseTest!G61</f>
        <v>P2</v>
      </c>
      <c r="B65" s="5" t="str">
        <f>BaseTest!B61</f>
        <v>AA</v>
      </c>
      <c r="C65" s="5" t="str">
        <f>VLOOKUP(BaseTest!C61,BaseWcag!$A$1:$B$10000,2,TRUE)</f>
        <v>Perceivable</v>
      </c>
      <c r="D65" s="5" t="str">
        <f>VLOOKUP(BaseTest!D61,BaseWcag!$A$1:$B$10000,2,TRUE)</f>
        <v>Adaptable</v>
      </c>
      <c r="E65" s="7" t="str">
        <f>BaseTest!E61</f>
        <v>1.3.1</v>
      </c>
      <c r="F65" s="5" t="str">
        <f>VLOOKUP(E65,BaseWcag!$A$1:$B$10000,2,TRUE)</f>
        <v>Info and Relationships</v>
      </c>
    </row>
    <row r="66" spans="1:6" ht="15.75" customHeight="1">
      <c r="A66" s="5" t="str">
        <f>BaseTest!G69</f>
        <v>P2</v>
      </c>
      <c r="B66" s="5" t="str">
        <f>BaseTest!B69</f>
        <v>AA</v>
      </c>
      <c r="C66" s="5" t="str">
        <f>VLOOKUP(BaseTest!C69,BaseWcag!$A$1:$B$10000,2,TRUE)</f>
        <v>Operable</v>
      </c>
      <c r="D66" s="5" t="str">
        <f>VLOOKUP(BaseTest!D69,BaseWcag!$A$1:$B$10000,2,TRUE)</f>
        <v>Navigable</v>
      </c>
      <c r="E66" s="7" t="str">
        <f>BaseTest!E69</f>
        <v>2.4.2</v>
      </c>
      <c r="F66" s="5" t="str">
        <f>VLOOKUP(E66,BaseWcag!$A$1:$B$10000,2,TRUE)</f>
        <v>Page Titled</v>
      </c>
    </row>
    <row r="67" spans="1:6" ht="15.75" customHeight="1">
      <c r="A67" s="5" t="str">
        <f>BaseTest!G70</f>
        <v>P2</v>
      </c>
      <c r="B67" s="5" t="str">
        <f>BaseTest!B70</f>
        <v>AA</v>
      </c>
      <c r="C67" s="5" t="str">
        <f>VLOOKUP(BaseTest!C70,BaseWcag!$A$1:$B$10000,2,TRUE)</f>
        <v>Perceivable</v>
      </c>
      <c r="D67" s="5" t="str">
        <f>VLOOKUP(BaseTest!D70,BaseWcag!$A$1:$B$10000,2,TRUE)</f>
        <v>Distinguishable</v>
      </c>
      <c r="E67" s="7" t="str">
        <f>BaseTest!E70</f>
        <v>1.4.3</v>
      </c>
      <c r="F67" s="5" t="str">
        <f>VLOOKUP(E67,BaseWcag!$A$1:$B$10000,2,TRUE)</f>
        <v>Contrast (Minimum)</v>
      </c>
    </row>
    <row r="68" spans="1:6" ht="15.75" customHeight="1">
      <c r="A68" s="5" t="str">
        <f>BaseTest!G71</f>
        <v>P2</v>
      </c>
      <c r="B68" s="5" t="str">
        <f>BaseTest!B71</f>
        <v>AA</v>
      </c>
      <c r="C68" s="5" t="str">
        <f>VLOOKUP(BaseTest!C71,BaseWcag!$A$1:$B$10000,2,TRUE)</f>
        <v>Perceivable</v>
      </c>
      <c r="D68" s="5" t="str">
        <f>VLOOKUP(BaseTest!D71,BaseWcag!$A$1:$B$10000,2,TRUE)</f>
        <v>Distinguishable</v>
      </c>
      <c r="E68" s="7" t="str">
        <f>BaseTest!E71</f>
        <v>1.4.3</v>
      </c>
      <c r="F68" s="5" t="str">
        <f>VLOOKUP(E68,BaseWcag!$A$1:$B$10000,2,TRUE)</f>
        <v>Contrast (Minimum)</v>
      </c>
    </row>
    <row r="69" spans="1:6" ht="15.75" customHeight="1">
      <c r="A69" s="5" t="str">
        <f>BaseTest!G72</f>
        <v>P2</v>
      </c>
      <c r="B69" s="5" t="str">
        <f>BaseTest!B72</f>
        <v>AA</v>
      </c>
      <c r="C69" s="5" t="str">
        <f>VLOOKUP(BaseTest!C72,BaseWcag!$A$1:$B$10000,2,TRUE)</f>
        <v>Operable</v>
      </c>
      <c r="D69" s="5" t="str">
        <f>VLOOKUP(BaseTest!D72,BaseWcag!$A$1:$B$10000,2,TRUE)</f>
        <v>Navigable</v>
      </c>
      <c r="E69" s="7" t="str">
        <f>BaseTest!E72</f>
        <v>2.4.1</v>
      </c>
      <c r="F69" s="5" t="str">
        <f>VLOOKUP(E69,BaseWcag!$A$1:$B$10000,2,TRUE)</f>
        <v>Bypass Blocks</v>
      </c>
    </row>
    <row r="70" spans="1:6" ht="15.75" customHeight="1">
      <c r="A70" s="5" t="str">
        <f>BaseTest!G2</f>
        <v>P1</v>
      </c>
      <c r="B70" s="5" t="str">
        <f>BaseTest!B2</f>
        <v>AA</v>
      </c>
      <c r="C70" s="5" t="str">
        <f>VLOOKUP(BaseTest!C2,BaseWcag!$A$1:$B$10000,2,TRUE)</f>
        <v>Operable</v>
      </c>
      <c r="D70" s="5" t="str">
        <f>VLOOKUP(BaseTest!D2,BaseWcag!$A$1:$B$10000,2,TRUE)</f>
        <v>Navigable</v>
      </c>
      <c r="E70" s="7" t="str">
        <f>BaseTest!E2</f>
        <v>2.4.2</v>
      </c>
      <c r="F70" s="5" t="str">
        <f>VLOOKUP(E70,BaseWcag!$A$1:$B$10000,2,TRUE)</f>
        <v>Page Titled</v>
      </c>
    </row>
    <row r="71" spans="1:6" ht="15.75" customHeight="1">
      <c r="A71" s="5" t="str">
        <f>BaseTest!G3</f>
        <v>P1</v>
      </c>
      <c r="B71" s="5" t="str">
        <f>BaseTest!B3</f>
        <v>AA</v>
      </c>
      <c r="C71" s="5" t="str">
        <f>VLOOKUP(BaseTest!C3,BaseWcag!$A$1:$B$10000,2,TRUE)</f>
        <v>Perceivable</v>
      </c>
      <c r="D71" s="5" t="str">
        <f>VLOOKUP(BaseTest!D3,BaseWcag!$A$1:$B$10000,2,TRUE)</f>
        <v>Distinguishable</v>
      </c>
      <c r="E71" s="7" t="str">
        <f>BaseTest!E3</f>
        <v>1.4.3</v>
      </c>
      <c r="F71" s="5" t="str">
        <f>VLOOKUP(E71,BaseWcag!$A$1:$B$10000,2,TRUE)</f>
        <v>Contrast (Minimum)</v>
      </c>
    </row>
    <row r="72" spans="1:6" ht="15.75" customHeight="1">
      <c r="A72" s="5" t="str">
        <f>BaseTest!G4</f>
        <v>P1</v>
      </c>
      <c r="B72" s="5" t="str">
        <f>BaseTest!B4</f>
        <v>AA</v>
      </c>
      <c r="C72" s="5" t="str">
        <f>VLOOKUP(BaseTest!C4,BaseWcag!$A$1:$B$10000,2,TRUE)</f>
        <v>Operable</v>
      </c>
      <c r="D72" s="5" t="str">
        <f>VLOOKUP(BaseTest!D4,BaseWcag!$A$1:$B$10000,2,TRUE)</f>
        <v>Navigable</v>
      </c>
      <c r="E72" s="7" t="str">
        <f>BaseTest!E4</f>
        <v>2.4.2</v>
      </c>
      <c r="F72" s="5" t="str">
        <f>VLOOKUP(E72,BaseWcag!$A$1:$B$10000,2,TRUE)</f>
        <v>Page Titled</v>
      </c>
    </row>
    <row r="73" spans="1:6" ht="15.75" customHeight="1">
      <c r="A73" s="5"/>
      <c r="B73" s="5"/>
      <c r="C73" s="5"/>
      <c r="D73" s="5"/>
      <c r="E73" s="5"/>
      <c r="F73" s="5"/>
    </row>
    <row r="74" spans="1:6" ht="15.75" customHeight="1">
      <c r="A74" s="5"/>
      <c r="B74" s="5"/>
      <c r="C74" s="5"/>
      <c r="D74" s="5"/>
      <c r="E74" s="5"/>
      <c r="F74" s="5"/>
    </row>
    <row r="75" spans="1:6" ht="15.75" customHeight="1">
      <c r="A75" s="5"/>
      <c r="B75" s="5"/>
      <c r="C75" s="5"/>
      <c r="D75" s="5"/>
      <c r="E75" s="5"/>
      <c r="F75" s="5"/>
    </row>
    <row r="76" spans="1:6" ht="15.75" customHeight="1">
      <c r="A76" s="5"/>
      <c r="B76" s="5"/>
      <c r="C76" s="5"/>
      <c r="D76" s="5"/>
      <c r="E76" s="5"/>
      <c r="F76" s="5"/>
    </row>
    <row r="77" spans="1:6" ht="15.75" customHeight="1">
      <c r="A77" s="5"/>
      <c r="B77" s="5"/>
      <c r="C77" s="5"/>
      <c r="D77" s="5"/>
      <c r="E77" s="5"/>
      <c r="F77" s="5"/>
    </row>
    <row r="78" spans="1:6" ht="15.75" customHeight="1">
      <c r="A78" s="5"/>
      <c r="B78" s="5"/>
      <c r="C78" s="5"/>
      <c r="D78" s="5"/>
      <c r="E78" s="5"/>
      <c r="F78" s="5"/>
    </row>
    <row r="79" spans="1:6" ht="15.75" customHeight="1">
      <c r="A79" s="5"/>
      <c r="B79" s="5"/>
      <c r="C79" s="5"/>
      <c r="D79" s="5"/>
      <c r="E79" s="5"/>
      <c r="F79" s="5"/>
    </row>
    <row r="80" spans="1:6" ht="15.75" customHeight="1">
      <c r="A80" s="5"/>
      <c r="B80" s="5"/>
      <c r="C80" s="5"/>
      <c r="D80" s="5"/>
      <c r="E80" s="5"/>
      <c r="F80" s="5"/>
    </row>
    <row r="81" spans="1:6" ht="15.75" customHeight="1">
      <c r="A81" s="5"/>
      <c r="B81" s="5"/>
      <c r="C81" s="5"/>
      <c r="D81" s="5"/>
      <c r="E81" s="5"/>
      <c r="F81" s="5"/>
    </row>
    <row r="82" spans="1:6" ht="15.75" customHeight="1">
      <c r="A82" s="5"/>
      <c r="B82" s="5"/>
      <c r="C82" s="5"/>
      <c r="D82" s="5"/>
      <c r="E82" s="5"/>
      <c r="F82" s="5"/>
    </row>
    <row r="83" spans="1:6" ht="15.75" customHeight="1">
      <c r="A83" s="5"/>
      <c r="B83" s="5"/>
      <c r="C83" s="5"/>
      <c r="D83" s="5"/>
      <c r="E83" s="5"/>
      <c r="F83" s="5"/>
    </row>
    <row r="84" spans="1:6" ht="15.75" customHeight="1">
      <c r="A84" s="5"/>
      <c r="B84" s="5"/>
      <c r="C84" s="5"/>
      <c r="D84" s="5"/>
      <c r="E84" s="5"/>
      <c r="F84" s="5"/>
    </row>
    <row r="85" spans="1:6" ht="15.75" customHeight="1">
      <c r="A85" s="5"/>
      <c r="B85" s="5"/>
      <c r="C85" s="5"/>
      <c r="D85" s="5"/>
      <c r="E85" s="5"/>
      <c r="F85" s="5"/>
    </row>
    <row r="86" spans="1:6" ht="15.75" customHeight="1">
      <c r="A86" s="5"/>
      <c r="B86" s="5"/>
      <c r="C86" s="5"/>
      <c r="D86" s="5"/>
      <c r="E86" s="5"/>
      <c r="F86" s="5"/>
    </row>
    <row r="87" spans="1:6" ht="15.75" customHeight="1">
      <c r="A87" s="5"/>
      <c r="B87" s="5"/>
      <c r="C87" s="5"/>
      <c r="D87" s="5"/>
      <c r="E87" s="5"/>
      <c r="F87" s="5"/>
    </row>
    <row r="88" spans="1:6" ht="15.75" customHeight="1">
      <c r="A88" s="5"/>
      <c r="B88" s="5"/>
      <c r="C88" s="5"/>
      <c r="D88" s="5"/>
      <c r="E88" s="5"/>
      <c r="F88" s="5"/>
    </row>
    <row r="89" spans="1:6" ht="15.75" customHeight="1">
      <c r="A89" s="5"/>
      <c r="B89" s="5"/>
      <c r="C89" s="5"/>
      <c r="D89" s="5"/>
      <c r="E89" s="5"/>
      <c r="F89" s="5"/>
    </row>
    <row r="90" spans="1:6" ht="15.75" customHeight="1">
      <c r="A90" s="5"/>
      <c r="B90" s="5"/>
      <c r="C90" s="5"/>
      <c r="D90" s="5"/>
      <c r="E90" s="5"/>
      <c r="F90" s="5"/>
    </row>
    <row r="91" spans="1:6" ht="15.75" customHeight="1">
      <c r="A91" s="5"/>
      <c r="B91" s="5"/>
      <c r="C91" s="5"/>
      <c r="D91" s="5"/>
      <c r="E91" s="5"/>
      <c r="F91" s="5"/>
    </row>
    <row r="92" spans="1:6" ht="15.75" customHeight="1">
      <c r="A92" s="5"/>
      <c r="B92" s="5"/>
      <c r="C92" s="5"/>
      <c r="D92" s="5"/>
      <c r="E92" s="5"/>
      <c r="F92" s="5"/>
    </row>
    <row r="93" spans="1:6" ht="15.75" customHeight="1">
      <c r="A93" s="5"/>
      <c r="B93" s="5"/>
      <c r="C93" s="5"/>
      <c r="D93" s="5"/>
      <c r="E93" s="5"/>
      <c r="F93" s="5"/>
    </row>
    <row r="94" spans="1:6" ht="15.75" customHeight="1">
      <c r="A94" s="5"/>
      <c r="B94" s="5"/>
      <c r="C94" s="5"/>
      <c r="D94" s="5"/>
      <c r="E94" s="5"/>
      <c r="F94" s="5"/>
    </row>
    <row r="95" spans="1:6" ht="15.75" customHeight="1">
      <c r="A95" s="5"/>
      <c r="B95" s="5"/>
      <c r="C95" s="5"/>
      <c r="D95" s="5"/>
      <c r="E95" s="5"/>
      <c r="F95" s="5"/>
    </row>
    <row r="96" spans="1:6" ht="15.75" customHeight="1">
      <c r="A96" s="5"/>
      <c r="B96" s="5"/>
      <c r="C96" s="5"/>
      <c r="D96" s="5"/>
      <c r="E96" s="5"/>
      <c r="F96" s="5"/>
    </row>
    <row r="97" spans="1:6" ht="15.75" customHeight="1">
      <c r="A97" s="5"/>
      <c r="B97" s="5"/>
      <c r="C97" s="5"/>
      <c r="D97" s="5"/>
      <c r="E97" s="5"/>
      <c r="F97" s="5"/>
    </row>
    <row r="98" spans="1:6" ht="15.75" customHeight="1">
      <c r="A98" s="5"/>
      <c r="B98" s="5"/>
      <c r="C98" s="5"/>
      <c r="D98" s="5"/>
      <c r="E98" s="5"/>
      <c r="F98" s="5"/>
    </row>
    <row r="99" spans="1:6" ht="15.75" customHeight="1">
      <c r="A99" s="5"/>
      <c r="B99" s="5"/>
      <c r="C99" s="5"/>
      <c r="D99" s="5"/>
      <c r="E99" s="5"/>
      <c r="F99" s="5"/>
    </row>
    <row r="100" spans="1:6" ht="15.75" customHeight="1">
      <c r="A100" s="5"/>
      <c r="B100" s="5"/>
      <c r="C100" s="5"/>
      <c r="D100" s="5"/>
      <c r="E100" s="5"/>
      <c r="F100" s="5"/>
    </row>
    <row r="101" spans="1:6" ht="15.75" customHeight="1">
      <c r="A101" s="5"/>
      <c r="B101" s="5"/>
      <c r="C101" s="5"/>
      <c r="D101" s="5"/>
      <c r="E101" s="5"/>
      <c r="F101" s="5"/>
    </row>
    <row r="102" spans="1:6" ht="15.75" customHeight="1">
      <c r="A102" s="5"/>
      <c r="B102" s="5"/>
      <c r="C102" s="5"/>
      <c r="D102" s="5"/>
      <c r="E102" s="5"/>
      <c r="F102" s="5"/>
    </row>
    <row r="103" spans="1:6" ht="15.75" customHeight="1">
      <c r="A103" s="5"/>
      <c r="B103" s="5"/>
      <c r="C103" s="5"/>
      <c r="D103" s="5"/>
      <c r="E103" s="5"/>
      <c r="F103" s="5"/>
    </row>
    <row r="104" spans="1:6" ht="15.75" customHeight="1">
      <c r="A104" s="5"/>
      <c r="B104" s="5"/>
      <c r="C104" s="5"/>
      <c r="D104" s="5"/>
      <c r="E104" s="5"/>
      <c r="F104" s="5"/>
    </row>
    <row r="105" spans="1:6" ht="15.75" customHeight="1">
      <c r="A105" s="5"/>
      <c r="B105" s="5"/>
      <c r="C105" s="5"/>
      <c r="D105" s="5"/>
      <c r="E105" s="5"/>
      <c r="F105" s="5"/>
    </row>
    <row r="106" spans="1:6" ht="15.75" customHeight="1">
      <c r="A106" s="5"/>
      <c r="B106" s="5"/>
      <c r="C106" s="5"/>
      <c r="D106" s="5"/>
      <c r="E106" s="5"/>
      <c r="F106" s="5"/>
    </row>
    <row r="107" spans="1:6" ht="15.75" customHeight="1">
      <c r="A107" s="5"/>
      <c r="B107" s="5"/>
      <c r="C107" s="5"/>
      <c r="D107" s="5"/>
      <c r="E107" s="5"/>
      <c r="F107" s="5"/>
    </row>
    <row r="108" spans="1:6" ht="15.75" customHeight="1">
      <c r="A108" s="5"/>
      <c r="B108" s="5"/>
      <c r="C108" s="5"/>
      <c r="D108" s="5"/>
      <c r="E108" s="5"/>
      <c r="F108" s="5"/>
    </row>
    <row r="109" spans="1:6" ht="15.75" customHeight="1">
      <c r="A109" s="5"/>
      <c r="B109" s="5"/>
      <c r="C109" s="5"/>
      <c r="D109" s="5"/>
      <c r="E109" s="5"/>
      <c r="F109" s="5"/>
    </row>
    <row r="110" spans="1:6" ht="15.75" customHeight="1">
      <c r="A110" s="5"/>
      <c r="B110" s="5"/>
      <c r="C110" s="5"/>
      <c r="D110" s="5"/>
      <c r="E110" s="5"/>
      <c r="F110" s="5"/>
    </row>
    <row r="111" spans="1:6" ht="15.75" customHeight="1">
      <c r="A111" s="5"/>
      <c r="B111" s="5"/>
      <c r="C111" s="5"/>
      <c r="D111" s="5"/>
      <c r="E111" s="5"/>
      <c r="F111" s="5"/>
    </row>
    <row r="112" spans="1:6" ht="15.75" customHeight="1">
      <c r="A112" s="5"/>
      <c r="B112" s="5"/>
      <c r="C112" s="5"/>
      <c r="D112" s="5"/>
      <c r="E112" s="5"/>
      <c r="F112" s="5"/>
    </row>
    <row r="113" spans="1:6" ht="15.75" customHeight="1">
      <c r="A113" s="5"/>
      <c r="B113" s="5"/>
      <c r="C113" s="5"/>
      <c r="D113" s="5"/>
      <c r="E113" s="5"/>
      <c r="F113" s="5"/>
    </row>
    <row r="114" spans="1:6" ht="15.75" customHeight="1">
      <c r="A114" s="5"/>
      <c r="B114" s="5"/>
      <c r="C114" s="5"/>
      <c r="D114" s="5"/>
      <c r="E114" s="5"/>
      <c r="F114" s="5"/>
    </row>
    <row r="115" spans="1:6" ht="15.75" customHeight="1">
      <c r="A115" s="5"/>
      <c r="B115" s="5"/>
      <c r="C115" s="5"/>
      <c r="D115" s="5"/>
      <c r="E115" s="5"/>
      <c r="F115" s="5"/>
    </row>
    <row r="116" spans="1:6" ht="15.75" customHeight="1">
      <c r="A116" s="5"/>
      <c r="B116" s="5"/>
      <c r="C116" s="5"/>
      <c r="D116" s="5"/>
      <c r="E116" s="5"/>
      <c r="F116" s="5"/>
    </row>
    <row r="117" spans="1:6" ht="15.75" customHeight="1">
      <c r="A117" s="5"/>
      <c r="B117" s="5"/>
      <c r="C117" s="5"/>
      <c r="D117" s="5"/>
      <c r="E117" s="5"/>
      <c r="F117" s="5"/>
    </row>
    <row r="118" spans="1:6" ht="15.75" customHeight="1">
      <c r="A118" s="5"/>
      <c r="B118" s="5"/>
      <c r="C118" s="5"/>
      <c r="D118" s="5"/>
      <c r="E118" s="5"/>
      <c r="F118" s="5"/>
    </row>
    <row r="119" spans="1:6" ht="15.75" customHeight="1">
      <c r="A119" s="5"/>
      <c r="B119" s="5"/>
      <c r="C119" s="5"/>
      <c r="D119" s="5"/>
      <c r="E119" s="5"/>
      <c r="F119" s="5"/>
    </row>
    <row r="120" spans="1:6" ht="15.75" customHeight="1">
      <c r="A120" s="5"/>
      <c r="B120" s="5"/>
      <c r="C120" s="5"/>
      <c r="D120" s="5"/>
      <c r="E120" s="5"/>
      <c r="F120" s="5"/>
    </row>
    <row r="121" spans="1:6" ht="15.75" customHeight="1">
      <c r="A121" s="5"/>
      <c r="B121" s="5"/>
      <c r="C121" s="5"/>
      <c r="D121" s="5"/>
      <c r="E121" s="5"/>
      <c r="F121" s="5"/>
    </row>
    <row r="122" spans="1:6" ht="15.75" customHeight="1">
      <c r="A122" s="5"/>
      <c r="B122" s="5"/>
      <c r="C122" s="5"/>
      <c r="D122" s="5"/>
      <c r="E122" s="5"/>
      <c r="F122" s="5"/>
    </row>
    <row r="123" spans="1:6" ht="15.75" customHeight="1">
      <c r="A123" s="5"/>
      <c r="B123" s="5"/>
      <c r="C123" s="5"/>
      <c r="D123" s="5"/>
      <c r="E123" s="5"/>
      <c r="F123" s="5"/>
    </row>
    <row r="124" spans="1:6" ht="15.75" customHeight="1">
      <c r="A124" s="5"/>
      <c r="B124" s="5"/>
      <c r="C124" s="5"/>
      <c r="D124" s="5"/>
      <c r="E124" s="5"/>
      <c r="F124" s="5"/>
    </row>
    <row r="125" spans="1:6" ht="15.75" customHeight="1">
      <c r="A125" s="5"/>
      <c r="B125" s="5"/>
      <c r="C125" s="5"/>
      <c r="D125" s="5"/>
      <c r="E125" s="5"/>
      <c r="F125" s="5"/>
    </row>
    <row r="126" spans="1:6" ht="15.75" customHeight="1">
      <c r="A126" s="5"/>
      <c r="B126" s="5"/>
      <c r="C126" s="5"/>
      <c r="D126" s="5"/>
      <c r="E126" s="5"/>
      <c r="F126" s="5"/>
    </row>
    <row r="127" spans="1:6" ht="15.75" customHeight="1">
      <c r="A127" s="5"/>
      <c r="B127" s="5"/>
      <c r="C127" s="5"/>
      <c r="D127" s="5"/>
      <c r="E127" s="5"/>
      <c r="F127" s="5"/>
    </row>
    <row r="128" spans="1:6" ht="15.75" customHeight="1">
      <c r="A128" s="5"/>
      <c r="B128" s="5"/>
      <c r="C128" s="5"/>
      <c r="D128" s="5"/>
      <c r="E128" s="5"/>
      <c r="F128" s="5"/>
    </row>
    <row r="129" spans="1:6" ht="15.75" customHeight="1">
      <c r="A129" s="5"/>
      <c r="B129" s="5"/>
      <c r="C129" s="5"/>
      <c r="D129" s="5"/>
      <c r="E129" s="5"/>
      <c r="F129" s="5"/>
    </row>
    <row r="130" spans="1:6" ht="15.75" customHeight="1">
      <c r="A130" s="5"/>
      <c r="B130" s="5"/>
      <c r="C130" s="5"/>
      <c r="D130" s="5"/>
      <c r="E130" s="5"/>
      <c r="F130" s="5"/>
    </row>
    <row r="131" spans="1:6" ht="15.75" customHeight="1">
      <c r="A131" s="5"/>
      <c r="B131" s="5"/>
      <c r="C131" s="5"/>
      <c r="D131" s="5"/>
      <c r="E131" s="5"/>
      <c r="F131" s="5"/>
    </row>
    <row r="132" spans="1:6" ht="15.75" customHeight="1">
      <c r="A132" s="5"/>
      <c r="B132" s="5"/>
      <c r="C132" s="5"/>
      <c r="D132" s="5"/>
      <c r="E132" s="5"/>
      <c r="F132" s="5"/>
    </row>
    <row r="133" spans="1:6" ht="15.75" customHeight="1">
      <c r="A133" s="5"/>
      <c r="B133" s="5"/>
      <c r="C133" s="5"/>
      <c r="D133" s="5"/>
      <c r="E133" s="5"/>
      <c r="F133" s="5"/>
    </row>
    <row r="134" spans="1:6" ht="15.75" customHeight="1">
      <c r="A134" s="5"/>
      <c r="B134" s="5"/>
      <c r="C134" s="5"/>
      <c r="D134" s="5"/>
      <c r="E134" s="5"/>
      <c r="F134" s="5"/>
    </row>
    <row r="135" spans="1:6" ht="15.75" customHeight="1">
      <c r="A135" s="5"/>
      <c r="B135" s="5"/>
      <c r="C135" s="5"/>
      <c r="D135" s="5"/>
      <c r="E135" s="5"/>
      <c r="F135" s="5"/>
    </row>
    <row r="136" spans="1:6" ht="15.75" customHeight="1">
      <c r="A136" s="5"/>
      <c r="B136" s="5"/>
      <c r="C136" s="5"/>
      <c r="D136" s="5"/>
      <c r="E136" s="5"/>
      <c r="F136" s="5"/>
    </row>
    <row r="137" spans="1:6" ht="15.75" customHeight="1">
      <c r="A137" s="5"/>
      <c r="B137" s="5"/>
      <c r="C137" s="5"/>
      <c r="D137" s="5"/>
      <c r="E137" s="5"/>
      <c r="F137" s="5"/>
    </row>
    <row r="138" spans="1:6" ht="15.75" customHeight="1">
      <c r="A138" s="5"/>
      <c r="B138" s="5"/>
      <c r="C138" s="5"/>
      <c r="D138" s="5"/>
      <c r="E138" s="5"/>
      <c r="F138" s="5"/>
    </row>
    <row r="139" spans="1:6" ht="15.75" customHeight="1">
      <c r="A139" s="5"/>
      <c r="B139" s="5"/>
      <c r="C139" s="5"/>
      <c r="D139" s="5"/>
      <c r="E139" s="5"/>
      <c r="F139" s="5"/>
    </row>
    <row r="140" spans="1:6" ht="15.75" customHeight="1">
      <c r="A140" s="5"/>
      <c r="B140" s="5"/>
      <c r="C140" s="5"/>
      <c r="D140" s="5"/>
      <c r="E140" s="5"/>
      <c r="F140" s="5"/>
    </row>
    <row r="141" spans="1:6" ht="15.75" customHeight="1">
      <c r="A141" s="5"/>
      <c r="B141" s="5"/>
      <c r="C141" s="5"/>
      <c r="D141" s="5"/>
      <c r="E141" s="5"/>
      <c r="F141" s="5"/>
    </row>
    <row r="142" spans="1:6" ht="15.75" customHeight="1">
      <c r="A142" s="5"/>
      <c r="B142" s="5"/>
      <c r="C142" s="5"/>
      <c r="D142" s="5"/>
      <c r="E142" s="5"/>
      <c r="F142" s="5"/>
    </row>
    <row r="143" spans="1:6" ht="15.75" customHeight="1">
      <c r="A143" s="5"/>
      <c r="B143" s="5"/>
      <c r="C143" s="5"/>
      <c r="D143" s="5"/>
      <c r="E143" s="5"/>
      <c r="F143" s="5"/>
    </row>
    <row r="144" spans="1:6" ht="15.75" customHeight="1">
      <c r="A144" s="5"/>
      <c r="B144" s="5"/>
      <c r="C144" s="5"/>
      <c r="D144" s="5"/>
      <c r="E144" s="5"/>
      <c r="F144" s="5"/>
    </row>
    <row r="145" spans="1:6" ht="15.75" customHeight="1">
      <c r="A145" s="5"/>
      <c r="B145" s="5"/>
      <c r="C145" s="5"/>
      <c r="D145" s="5"/>
      <c r="E145" s="5"/>
      <c r="F145" s="5"/>
    </row>
    <row r="146" spans="1:6" ht="15.75" customHeight="1">
      <c r="A146" s="5"/>
      <c r="B146" s="5"/>
      <c r="C146" s="5"/>
      <c r="D146" s="5"/>
      <c r="E146" s="5"/>
      <c r="F146" s="5"/>
    </row>
    <row r="147" spans="1:6" ht="15.75" customHeight="1">
      <c r="A147" s="5"/>
      <c r="B147" s="5"/>
      <c r="C147" s="5"/>
      <c r="D147" s="5"/>
      <c r="E147" s="5"/>
      <c r="F147" s="5"/>
    </row>
    <row r="148" spans="1:6" ht="15.75" customHeight="1">
      <c r="A148" s="5"/>
      <c r="B148" s="5"/>
      <c r="C148" s="5"/>
      <c r="D148" s="5"/>
      <c r="E148" s="5"/>
      <c r="F148" s="5"/>
    </row>
    <row r="149" spans="1:6" ht="15.75" customHeight="1">
      <c r="A149" s="5"/>
      <c r="B149" s="5"/>
      <c r="C149" s="5"/>
      <c r="D149" s="5"/>
      <c r="E149" s="5"/>
      <c r="F149" s="5"/>
    </row>
    <row r="150" spans="1:6" ht="15.75" customHeight="1">
      <c r="A150" s="5"/>
      <c r="B150" s="5"/>
      <c r="C150" s="5"/>
      <c r="D150" s="5"/>
      <c r="E150" s="5"/>
      <c r="F150" s="5"/>
    </row>
    <row r="151" spans="1:6" ht="15.75" customHeight="1">
      <c r="A151" s="5"/>
      <c r="B151" s="5"/>
      <c r="C151" s="5"/>
      <c r="D151" s="5"/>
      <c r="E151" s="5"/>
      <c r="F151" s="5"/>
    </row>
    <row r="152" spans="1:6" ht="15.75" customHeight="1">
      <c r="A152" s="5"/>
      <c r="B152" s="5"/>
      <c r="C152" s="5"/>
      <c r="D152" s="5"/>
      <c r="E152" s="5"/>
      <c r="F152" s="5"/>
    </row>
    <row r="153" spans="1:6" ht="15.75" customHeight="1">
      <c r="A153" s="5"/>
      <c r="B153" s="5"/>
      <c r="C153" s="5"/>
      <c r="D153" s="5"/>
      <c r="E153" s="5"/>
      <c r="F153" s="5"/>
    </row>
    <row r="154" spans="1:6" ht="15.75" customHeight="1">
      <c r="A154" s="5"/>
      <c r="B154" s="5"/>
      <c r="C154" s="5"/>
      <c r="D154" s="5"/>
      <c r="E154" s="5"/>
      <c r="F154" s="5"/>
    </row>
    <row r="155" spans="1:6" ht="15.75" customHeight="1">
      <c r="A155" s="5"/>
      <c r="B155" s="5"/>
      <c r="C155" s="5"/>
      <c r="D155" s="5"/>
      <c r="E155" s="5"/>
      <c r="F155" s="5"/>
    </row>
    <row r="156" spans="1:6" ht="15.75" customHeight="1">
      <c r="A156" s="5"/>
      <c r="B156" s="5"/>
      <c r="C156" s="5"/>
      <c r="D156" s="5"/>
      <c r="E156" s="5"/>
      <c r="F156" s="5"/>
    </row>
    <row r="157" spans="1:6" ht="15.75" customHeight="1">
      <c r="A157" s="5"/>
      <c r="B157" s="5"/>
      <c r="C157" s="5"/>
      <c r="D157" s="5"/>
      <c r="E157" s="5"/>
      <c r="F157" s="5"/>
    </row>
    <row r="158" spans="1:6" ht="15.75" customHeight="1">
      <c r="A158" s="5"/>
      <c r="B158" s="5"/>
      <c r="C158" s="5"/>
      <c r="D158" s="5"/>
      <c r="E158" s="5"/>
      <c r="F158" s="5"/>
    </row>
    <row r="159" spans="1:6" ht="15.75" customHeight="1">
      <c r="A159" s="5"/>
      <c r="B159" s="5"/>
      <c r="C159" s="5"/>
      <c r="D159" s="5"/>
      <c r="E159" s="5"/>
      <c r="F159" s="5"/>
    </row>
    <row r="160" spans="1:6" ht="15.75" customHeight="1">
      <c r="A160" s="5"/>
      <c r="B160" s="5"/>
      <c r="C160" s="5"/>
      <c r="D160" s="5"/>
      <c r="E160" s="5"/>
      <c r="F160" s="5"/>
    </row>
    <row r="161" spans="1:6" ht="15.75" customHeight="1">
      <c r="A161" s="5"/>
      <c r="B161" s="5"/>
      <c r="C161" s="5"/>
      <c r="D161" s="5"/>
      <c r="E161" s="5"/>
      <c r="F161" s="5"/>
    </row>
    <row r="162" spans="1:6" ht="15.75" customHeight="1">
      <c r="A162" s="5"/>
      <c r="B162" s="5"/>
      <c r="C162" s="5"/>
      <c r="D162" s="5"/>
      <c r="E162" s="5"/>
      <c r="F162" s="5"/>
    </row>
    <row r="163" spans="1:6" ht="15.75" customHeight="1">
      <c r="A163" s="5"/>
      <c r="B163" s="5"/>
      <c r="C163" s="5"/>
      <c r="D163" s="5"/>
      <c r="E163" s="5"/>
      <c r="F163" s="5"/>
    </row>
    <row r="164" spans="1:6" ht="15.75" customHeight="1">
      <c r="A164" s="5"/>
      <c r="B164" s="5"/>
      <c r="C164" s="5"/>
      <c r="D164" s="5"/>
      <c r="E164" s="5"/>
      <c r="F164" s="5"/>
    </row>
    <row r="165" spans="1:6" ht="15.75" customHeight="1"/>
    <row r="166" spans="1:6" ht="15.75" customHeight="1"/>
    <row r="167" spans="1:6" ht="15.75" customHeight="1"/>
    <row r="168" spans="1:6" ht="15.75" customHeight="1"/>
    <row r="169" spans="1:6" ht="15.75" customHeight="1"/>
    <row r="170" spans="1:6" ht="15.75" customHeight="1"/>
    <row r="171" spans="1:6" ht="15.75" customHeight="1"/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F72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1000"/>
  <sheetViews>
    <sheetView workbookViewId="0">
      <selection activeCell="B2" sqref="B2"/>
    </sheetView>
  </sheetViews>
  <sheetFormatPr defaultColWidth="14.42578125" defaultRowHeight="15" customHeight="1"/>
  <cols>
    <col min="1" max="1" width="22" customWidth="1"/>
    <col min="2" max="2" width="10.7109375" customWidth="1"/>
    <col min="3" max="3" width="13.5703125" customWidth="1"/>
    <col min="4" max="4" width="8.7109375" customWidth="1"/>
    <col min="5" max="5" width="13.5703125" customWidth="1"/>
    <col min="6" max="26" width="8.7109375" customWidth="1"/>
  </cols>
  <sheetData>
    <row r="1" spans="1:3">
      <c r="A1" s="3" t="s">
        <v>235</v>
      </c>
      <c r="B1" s="3" t="s">
        <v>13</v>
      </c>
      <c r="C1" s="3" t="s">
        <v>30</v>
      </c>
    </row>
    <row r="2" spans="1:3">
      <c r="A2" s="5" t="s">
        <v>33</v>
      </c>
      <c r="B2" s="5">
        <f>COUNTIFS(GeneralResults!$C:$C,WCAGPrincipleResult!A2,GeneralResults!$A:$A,$B$1)</f>
        <v>7</v>
      </c>
      <c r="C2" s="5">
        <f>COUNTIFS(GeneralResults!$C:$C,WCAGPrincipleResult!A2,GeneralResults!$A:$A,$C$1)</f>
        <v>37</v>
      </c>
    </row>
    <row r="3" spans="1:3">
      <c r="A3" s="5" t="s">
        <v>96</v>
      </c>
      <c r="B3" s="5">
        <f>COUNTIFS(GeneralResults!$C:$C,WCAGPrincipleResult!A3,GeneralResults!$A:$A,$B$1)</f>
        <v>7</v>
      </c>
      <c r="C3" s="5">
        <f>COUNTIFS(GeneralResults!$C:$C,WCAGPrincipleResult!A3,GeneralResults!$A:$A,$C$1)</f>
        <v>7</v>
      </c>
    </row>
    <row r="4" spans="1:3" hidden="1">
      <c r="A4" s="5" t="s">
        <v>162</v>
      </c>
      <c r="B4" s="5">
        <f>COUNTIFS(GeneralResults!$C:$C,WCAGPrincipleResult!A4,GeneralResults!$A:$A,$B$1)</f>
        <v>0</v>
      </c>
      <c r="C4" s="5">
        <f>COUNTIFS(GeneralResults!$C:$C,WCAGPrincipleResult!A4,GeneralResults!$A:$A,$C$1)</f>
        <v>0</v>
      </c>
    </row>
    <row r="5" spans="1:3">
      <c r="A5" s="5" t="s">
        <v>203</v>
      </c>
      <c r="B5" s="5">
        <f>COUNTIFS(GeneralResults!$C:$C,WCAGPrincipleResult!A5,GeneralResults!$A:$A,$B$1)</f>
        <v>1</v>
      </c>
      <c r="C5" s="5">
        <f>COUNTIFS(GeneralResults!$C:$C,WCAGPrincipleResult!A5,GeneralResults!$A:$A,$C$1)</f>
        <v>12</v>
      </c>
    </row>
    <row r="6" spans="1:3">
      <c r="A6" s="5"/>
    </row>
    <row r="7" spans="1:3">
      <c r="A7" s="5"/>
    </row>
    <row r="8" spans="1:3">
      <c r="A8" s="5"/>
    </row>
    <row r="9" spans="1:3">
      <c r="A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5" xr:uid="{00000000-0009-0000-0000-000003000000}">
    <filterColumn colId="2">
      <filters>
        <filter val="1"/>
        <filter val="7"/>
      </filters>
    </filterColumn>
  </autoFilter>
  <pageMargins left="0.511811024" right="0.511811024" top="0.78740157499999996" bottom="0.78740157499999996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000"/>
  <sheetViews>
    <sheetView topLeftCell="B1" workbookViewId="0">
      <selection activeCell="R30" sqref="R30"/>
    </sheetView>
  </sheetViews>
  <sheetFormatPr defaultColWidth="14.42578125" defaultRowHeight="15" customHeight="1"/>
  <cols>
    <col min="1" max="1" width="19.28515625" customWidth="1"/>
    <col min="2" max="2" width="28.140625" customWidth="1"/>
    <col min="3" max="3" width="4.140625" customWidth="1"/>
    <col min="4" max="4" width="4.85546875" customWidth="1"/>
    <col min="5" max="5" width="13.85546875" customWidth="1"/>
    <col min="6" max="27" width="8.7109375" customWidth="1"/>
  </cols>
  <sheetData>
    <row r="1" spans="1:5">
      <c r="A1" s="14" t="s">
        <v>235</v>
      </c>
      <c r="B1" s="14" t="s">
        <v>236</v>
      </c>
      <c r="C1" s="14" t="s">
        <v>13</v>
      </c>
      <c r="D1" s="14" t="s">
        <v>30</v>
      </c>
      <c r="E1" s="14" t="s">
        <v>238</v>
      </c>
    </row>
    <row r="2" spans="1:5" hidden="1">
      <c r="A2" s="5" t="s">
        <v>33</v>
      </c>
      <c r="B2" s="5" t="s">
        <v>35</v>
      </c>
      <c r="C2" s="5" t="str">
        <f>IF(COUNTIFS(GeneralResults!$D:$D,WCAGGuidelineResult!B2,GeneralResults!$A:$A,$C$1)=0,"",COUNTIFS(GeneralResults!$D:$D,WCAGGuidelineResult!B2,GeneralResults!$A:$A,$C$1))</f>
        <v/>
      </c>
      <c r="D2" s="5" t="str">
        <f>IF(COUNTIFS(GeneralResults!$D:$D,WCAGGuidelineResult!B2,GeneralResults!$A:$A,$D$1)=0,"",COUNTIFS(GeneralResults!$D:$D,WCAGGuidelineResult!B2,GeneralResults!$A:$A,$D$1))</f>
        <v/>
      </c>
      <c r="E2" s="15">
        <f t="shared" ref="E2:E14" si="0">IF(AND(C2="",D2=""),0,1)</f>
        <v>0</v>
      </c>
    </row>
    <row r="3" spans="1:5" hidden="1">
      <c r="A3" s="5" t="s">
        <v>33</v>
      </c>
      <c r="B3" s="5" t="s">
        <v>39</v>
      </c>
      <c r="C3" s="5" t="str">
        <f>IF(COUNTIFS(GeneralResults!$D:$D,WCAGGuidelineResult!B3,GeneralResults!$A:$A,$C$1)=0,"",COUNTIFS(GeneralResults!$D:$D,WCAGGuidelineResult!B3,GeneralResults!$A:$A,$C$1))</f>
        <v/>
      </c>
      <c r="D3" s="5" t="str">
        <f>IF(COUNTIFS(GeneralResults!$D:$D,WCAGGuidelineResult!B3,GeneralResults!$A:$A,$D$1)=0,"",COUNTIFS(GeneralResults!$D:$D,WCAGGuidelineResult!B3,GeneralResults!$A:$A,$D$1))</f>
        <v/>
      </c>
      <c r="E3" s="15">
        <f t="shared" si="0"/>
        <v>0</v>
      </c>
    </row>
    <row r="4" spans="1:5">
      <c r="A4" s="5" t="s">
        <v>33</v>
      </c>
      <c r="B4" s="5" t="s">
        <v>58</v>
      </c>
      <c r="C4" s="5">
        <f>IF(COUNTIFS(GeneralResults!$D:$D,WCAGGuidelineResult!B4,GeneralResults!$A:$A,$C$1)=0,"",COUNTIFS(GeneralResults!$D:$D,WCAGGuidelineResult!B4,GeneralResults!$A:$A,$C$1))</f>
        <v>1</v>
      </c>
      <c r="D4" s="5">
        <f>IF(COUNTIFS(GeneralResults!$D:$D,WCAGGuidelineResult!B4,GeneralResults!$A:$A,$D$1)=0,"",COUNTIFS(GeneralResults!$D:$D,WCAGGuidelineResult!B4,GeneralResults!$A:$A,$D$1))</f>
        <v>11</v>
      </c>
      <c r="E4" s="15">
        <f t="shared" si="0"/>
        <v>1</v>
      </c>
    </row>
    <row r="5" spans="1:5">
      <c r="A5" s="5" t="s">
        <v>33</v>
      </c>
      <c r="B5" s="5" t="s">
        <v>70</v>
      </c>
      <c r="C5" s="5">
        <f>IF(COUNTIFS(GeneralResults!$D:$D,WCAGGuidelineResult!B5,GeneralResults!$A:$A,$C$1)=0,"",COUNTIFS(GeneralResults!$D:$D,WCAGGuidelineResult!B5,GeneralResults!$A:$A,$C$1))</f>
        <v>6</v>
      </c>
      <c r="D5" s="5">
        <f>IF(COUNTIFS(GeneralResults!$D:$D,WCAGGuidelineResult!B5,GeneralResults!$A:$A,$D$1)=0,"",COUNTIFS(GeneralResults!$D:$D,WCAGGuidelineResult!B5,GeneralResults!$A:$A,$D$1))</f>
        <v>26</v>
      </c>
      <c r="E5" s="15">
        <f t="shared" si="0"/>
        <v>1</v>
      </c>
    </row>
    <row r="6" spans="1:5" hidden="1">
      <c r="A6" s="5" t="s">
        <v>96</v>
      </c>
      <c r="B6" s="5" t="s">
        <v>98</v>
      </c>
      <c r="C6" s="5" t="str">
        <f>IF(COUNTIFS(GeneralResults!$D:$D,WCAGGuidelineResult!B6,GeneralResults!$A:$A,$C$1)=0,"",COUNTIFS(GeneralResults!$D:$D,WCAGGuidelineResult!B6,GeneralResults!$A:$A,$C$1))</f>
        <v/>
      </c>
      <c r="D6" s="5" t="str">
        <f>IF(COUNTIFS(GeneralResults!$D:$D,WCAGGuidelineResult!B6,GeneralResults!$A:$A,$D$1)=0,"",COUNTIFS(GeneralResults!$D:$D,WCAGGuidelineResult!B6,GeneralResults!$A:$A,$D$1))</f>
        <v/>
      </c>
      <c r="E6" s="15">
        <f t="shared" si="0"/>
        <v>0</v>
      </c>
    </row>
    <row r="7" spans="1:5" hidden="1">
      <c r="A7" s="5" t="s">
        <v>96</v>
      </c>
      <c r="B7" s="5" t="s">
        <v>108</v>
      </c>
      <c r="C7" s="5" t="str">
        <f>IF(COUNTIFS(GeneralResults!$D:$D,WCAGGuidelineResult!B7,GeneralResults!$A:$A,$C$1)=0,"",COUNTIFS(GeneralResults!$D:$D,WCAGGuidelineResult!B7,GeneralResults!$A:$A,$C$1))</f>
        <v/>
      </c>
      <c r="D7" s="5" t="str">
        <f>IF(COUNTIFS(GeneralResults!$D:$D,WCAGGuidelineResult!B7,GeneralResults!$A:$A,$D$1)=0,"",COUNTIFS(GeneralResults!$D:$D,WCAGGuidelineResult!B7,GeneralResults!$A:$A,$D$1))</f>
        <v/>
      </c>
      <c r="E7" s="15">
        <f t="shared" si="0"/>
        <v>0</v>
      </c>
    </row>
    <row r="8" spans="1:5" hidden="1">
      <c r="A8" s="5" t="s">
        <v>96</v>
      </c>
      <c r="B8" s="5" t="s">
        <v>122</v>
      </c>
      <c r="C8" s="5" t="str">
        <f>IF(COUNTIFS(GeneralResults!$D:$D,WCAGGuidelineResult!B8,GeneralResults!$A:$A,$C$1)=0,"",COUNTIFS(GeneralResults!$D:$D,WCAGGuidelineResult!B8,GeneralResults!$A:$A,$C$1))</f>
        <v/>
      </c>
      <c r="D8" s="5" t="str">
        <f>IF(COUNTIFS(GeneralResults!$D:$D,WCAGGuidelineResult!B8,GeneralResults!$A:$A,$D$1)=0,"",COUNTIFS(GeneralResults!$D:$D,WCAGGuidelineResult!B8,GeneralResults!$A:$A,$D$1))</f>
        <v/>
      </c>
      <c r="E8" s="15">
        <f t="shared" si="0"/>
        <v>0</v>
      </c>
    </row>
    <row r="9" spans="1:5">
      <c r="A9" s="5" t="s">
        <v>96</v>
      </c>
      <c r="B9" s="5" t="s">
        <v>129</v>
      </c>
      <c r="C9" s="5">
        <f>IF(COUNTIFS(GeneralResults!$D:$D,WCAGGuidelineResult!B9,GeneralResults!$A:$A,$C$1)=0,"",COUNTIFS(GeneralResults!$D:$D,WCAGGuidelineResult!B9,GeneralResults!$A:$A,$C$1))</f>
        <v>7</v>
      </c>
      <c r="D9" s="5">
        <f>IF(COUNTIFS(GeneralResults!$D:$D,WCAGGuidelineResult!B9,GeneralResults!$A:$A,$D$1)=0,"",COUNTIFS(GeneralResults!$D:$D,WCAGGuidelineResult!B9,GeneralResults!$A:$A,$D$1))</f>
        <v>7</v>
      </c>
      <c r="E9" s="15">
        <f t="shared" si="0"/>
        <v>1</v>
      </c>
    </row>
    <row r="10" spans="1:5" hidden="1">
      <c r="A10" s="5" t="s">
        <v>96</v>
      </c>
      <c r="B10" s="5" t="s">
        <v>149</v>
      </c>
      <c r="C10" s="5" t="str">
        <f>IF(COUNTIFS(GeneralResults!$D:$D,WCAGGuidelineResult!B10,GeneralResults!$A:$A,$C$1)=0,"",COUNTIFS(GeneralResults!$D:$D,WCAGGuidelineResult!B10,GeneralResults!$A:$A,$C$1))</f>
        <v/>
      </c>
      <c r="D10" s="5" t="str">
        <f>IF(COUNTIFS(GeneralResults!$D:$D,WCAGGuidelineResult!B10,GeneralResults!$A:$A,$D$1)=0,"",COUNTIFS(GeneralResults!$D:$D,WCAGGuidelineResult!B10,GeneralResults!$A:$A,$D$1))</f>
        <v/>
      </c>
      <c r="E10" s="15">
        <f t="shared" si="0"/>
        <v>0</v>
      </c>
    </row>
    <row r="11" spans="1:5" hidden="1">
      <c r="A11" s="5" t="s">
        <v>162</v>
      </c>
      <c r="B11" s="5" t="s">
        <v>164</v>
      </c>
      <c r="C11" s="5" t="str">
        <f>IF(COUNTIFS(GeneralResults!$D:$D,WCAGGuidelineResult!B11,GeneralResults!$A:$A,$C$1)=0,"",COUNTIFS(GeneralResults!$D:$D,WCAGGuidelineResult!B11,GeneralResults!$A:$A,$C$1))</f>
        <v/>
      </c>
      <c r="D11" s="5" t="str">
        <f>IF(COUNTIFS(GeneralResults!$D:$D,WCAGGuidelineResult!B11,GeneralResults!$A:$A,$D$1)=0,"",COUNTIFS(GeneralResults!$D:$D,WCAGGuidelineResult!B11,GeneralResults!$A:$A,$D$1))</f>
        <v/>
      </c>
      <c r="E11" s="15">
        <f t="shared" si="0"/>
        <v>0</v>
      </c>
    </row>
    <row r="12" spans="1:5" hidden="1">
      <c r="A12" s="5" t="s">
        <v>162</v>
      </c>
      <c r="B12" s="5" t="s">
        <v>178</v>
      </c>
      <c r="C12" s="5" t="str">
        <f>IF(COUNTIFS(GeneralResults!$D:$D,WCAGGuidelineResult!B12,GeneralResults!$A:$A,$C$1)=0,"",COUNTIFS(GeneralResults!$D:$D,WCAGGuidelineResult!B12,GeneralResults!$A:$A,$C$1))</f>
        <v/>
      </c>
      <c r="D12" s="5" t="str">
        <f>IF(COUNTIFS(GeneralResults!$D:$D,WCAGGuidelineResult!B12,GeneralResults!$A:$A,$D$1)=0,"",COUNTIFS(GeneralResults!$D:$D,WCAGGuidelineResult!B12,GeneralResults!$A:$A,$D$1))</f>
        <v/>
      </c>
      <c r="E12" s="15">
        <f t="shared" si="0"/>
        <v>0</v>
      </c>
    </row>
    <row r="13" spans="1:5" hidden="1">
      <c r="A13" s="5" t="s">
        <v>162</v>
      </c>
      <c r="B13" s="5" t="s">
        <v>190</v>
      </c>
      <c r="C13" s="5" t="str">
        <f>IF(COUNTIFS(GeneralResults!$D:$D,WCAGGuidelineResult!B13,GeneralResults!$A:$A,$C$1)=0,"",COUNTIFS(GeneralResults!$D:$D,WCAGGuidelineResult!B13,GeneralResults!$A:$A,$C$1))</f>
        <v/>
      </c>
      <c r="D13" s="5" t="str">
        <f>IF(COUNTIFS(GeneralResults!$D:$D,WCAGGuidelineResult!B13,GeneralResults!$A:$A,$D$1)=0,"",COUNTIFS(GeneralResults!$D:$D,WCAGGuidelineResult!B13,GeneralResults!$A:$A,$D$1))</f>
        <v/>
      </c>
      <c r="E13" s="15">
        <f t="shared" si="0"/>
        <v>0</v>
      </c>
    </row>
    <row r="14" spans="1:5">
      <c r="A14" s="5" t="s">
        <v>203</v>
      </c>
      <c r="B14" s="5" t="s">
        <v>204</v>
      </c>
      <c r="C14" s="5">
        <f>IF(COUNTIFS(GeneralResults!$D:$D,WCAGGuidelineResult!B14,GeneralResults!$A:$A,$C$1)=0,"",COUNTIFS(GeneralResults!$D:$D,WCAGGuidelineResult!B14,GeneralResults!$A:$A,$C$1))</f>
        <v>1</v>
      </c>
      <c r="D14" s="5">
        <f>IF(COUNTIFS(GeneralResults!$D:$D,WCAGGuidelineResult!B14,GeneralResults!$A:$A,$D$1)=0,"",COUNTIFS(GeneralResults!$D:$D,WCAGGuidelineResult!B14,GeneralResults!$A:$A,$D$1))</f>
        <v>12</v>
      </c>
      <c r="E14" s="15">
        <f t="shared" si="0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4" xr:uid="{00000000-0009-0000-0000-000004000000}">
    <filterColumn colId="4">
      <filters>
        <filter val="1"/>
      </filters>
    </filterColumn>
  </autoFilter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35F7-B28A-4D1D-80A5-9EC8F177B1D2}">
  <dimension ref="A1:C9"/>
  <sheetViews>
    <sheetView workbookViewId="0">
      <selection activeCell="C22" sqref="C22"/>
    </sheetView>
  </sheetViews>
  <sheetFormatPr defaultRowHeight="15"/>
  <cols>
    <col min="1" max="1" width="17.28515625" bestFit="1" customWidth="1"/>
    <col min="2" max="3" width="10.85546875" bestFit="1" customWidth="1"/>
  </cols>
  <sheetData>
    <row r="1" spans="1:3">
      <c r="A1" s="16" t="s">
        <v>240</v>
      </c>
      <c r="B1" t="s">
        <v>242</v>
      </c>
      <c r="C1" t="s">
        <v>243</v>
      </c>
    </row>
    <row r="2" spans="1:3">
      <c r="A2" s="17" t="s">
        <v>96</v>
      </c>
      <c r="B2">
        <v>7</v>
      </c>
      <c r="C2">
        <v>7</v>
      </c>
    </row>
    <row r="3" spans="1:3">
      <c r="A3" s="18" t="s">
        <v>129</v>
      </c>
      <c r="B3">
        <v>7</v>
      </c>
      <c r="C3">
        <v>7</v>
      </c>
    </row>
    <row r="4" spans="1:3">
      <c r="A4" s="17" t="s">
        <v>33</v>
      </c>
      <c r="B4">
        <v>37</v>
      </c>
      <c r="C4">
        <v>7</v>
      </c>
    </row>
    <row r="5" spans="1:3">
      <c r="A5" s="18" t="s">
        <v>58</v>
      </c>
      <c r="B5">
        <v>11</v>
      </c>
      <c r="C5">
        <v>1</v>
      </c>
    </row>
    <row r="6" spans="1:3">
      <c r="A6" s="18" t="s">
        <v>70</v>
      </c>
      <c r="B6">
        <v>26</v>
      </c>
      <c r="C6">
        <v>6</v>
      </c>
    </row>
    <row r="7" spans="1:3">
      <c r="A7" s="17" t="s">
        <v>203</v>
      </c>
      <c r="B7">
        <v>12</v>
      </c>
      <c r="C7">
        <v>1</v>
      </c>
    </row>
    <row r="8" spans="1:3">
      <c r="A8" s="18" t="s">
        <v>204</v>
      </c>
      <c r="B8">
        <v>12</v>
      </c>
      <c r="C8">
        <v>1</v>
      </c>
    </row>
    <row r="9" spans="1:3">
      <c r="A9" s="17" t="s">
        <v>241</v>
      </c>
      <c r="B9">
        <v>56</v>
      </c>
      <c r="C9">
        <v>15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000"/>
  <sheetViews>
    <sheetView topLeftCell="B1" workbookViewId="0">
      <selection activeCell="E93" sqref="E93"/>
    </sheetView>
  </sheetViews>
  <sheetFormatPr defaultColWidth="14.42578125" defaultRowHeight="15" customHeight="1"/>
  <cols>
    <col min="1" max="1" width="15.5703125" customWidth="1"/>
    <col min="2" max="2" width="43" customWidth="1"/>
    <col min="3" max="4" width="8.7109375" customWidth="1"/>
    <col min="5" max="5" width="11.42578125" customWidth="1"/>
    <col min="6" max="26" width="8.7109375" customWidth="1"/>
  </cols>
  <sheetData>
    <row r="1" spans="1:5">
      <c r="A1" s="1" t="s">
        <v>3</v>
      </c>
      <c r="B1" s="1" t="s">
        <v>239</v>
      </c>
      <c r="C1" s="1" t="s">
        <v>13</v>
      </c>
      <c r="D1" s="1" t="s">
        <v>30</v>
      </c>
      <c r="E1" s="14" t="s">
        <v>238</v>
      </c>
    </row>
    <row r="2" spans="1:5" hidden="1">
      <c r="A2" s="5" t="s">
        <v>36</v>
      </c>
      <c r="B2" s="5" t="s">
        <v>37</v>
      </c>
      <c r="C2" s="5" t="str">
        <f>IF(COUNTIFS(GeneralResults!$E:$E,A2,GeneralResults!$A:$A,$C$1)=0,"",COUNTIFS(GeneralResults!$E:$E,A2,GeneralResults!$A:$A,$C$1))</f>
        <v/>
      </c>
      <c r="D2" s="5" t="str">
        <f>IF(COUNTIFS(GeneralResults!$E:$E,A2,GeneralResults!$A:$A,$D$1)=0,"",COUNTIFS(GeneralResults!$E:$E,A2,GeneralResults!$A:$A,$D$1))</f>
        <v/>
      </c>
      <c r="E2" s="15">
        <f t="shared" ref="E2:E79" si="0">IF(AND(C2="",D2=""),0,1)</f>
        <v>0</v>
      </c>
    </row>
    <row r="3" spans="1:5" hidden="1">
      <c r="A3" s="5" t="s">
        <v>40</v>
      </c>
      <c r="B3" s="5" t="s">
        <v>41</v>
      </c>
      <c r="C3" s="5" t="str">
        <f>IF(COUNTIFS(GeneralResults!$E:$E,A3,GeneralResults!$A:$A,$C$1)=0,"",COUNTIFS(GeneralResults!$E:$E,A3,GeneralResults!$A:$A,$C$1))</f>
        <v/>
      </c>
      <c r="D3" s="5" t="str">
        <f>IF(COUNTIFS(GeneralResults!$E:$E,A3,GeneralResults!$A:$A,$D$1)=0,"",COUNTIFS(GeneralResults!$E:$E,A3,GeneralResults!$A:$A,$D$1))</f>
        <v/>
      </c>
      <c r="E3" s="15">
        <f t="shared" si="0"/>
        <v>0</v>
      </c>
    </row>
    <row r="4" spans="1:5" hidden="1">
      <c r="A4" s="5" t="s">
        <v>42</v>
      </c>
      <c r="B4" s="5" t="s">
        <v>43</v>
      </c>
      <c r="C4" s="5" t="str">
        <f>IF(COUNTIFS(GeneralResults!$E:$E,A4,GeneralResults!$A:$A,$C$1)=0,"",COUNTIFS(GeneralResults!$E:$E,A4,GeneralResults!$A:$A,$C$1))</f>
        <v/>
      </c>
      <c r="D4" s="5" t="str">
        <f>IF(COUNTIFS(GeneralResults!$E:$E,A4,GeneralResults!$A:$A,$D$1)=0,"",COUNTIFS(GeneralResults!$E:$E,A4,GeneralResults!$A:$A,$D$1))</f>
        <v/>
      </c>
      <c r="E4" s="15">
        <f t="shared" si="0"/>
        <v>0</v>
      </c>
    </row>
    <row r="5" spans="1:5" hidden="1">
      <c r="A5" s="5" t="s">
        <v>44</v>
      </c>
      <c r="B5" s="5" t="s">
        <v>45</v>
      </c>
      <c r="C5" s="5" t="str">
        <f>IF(COUNTIFS(GeneralResults!$E:$E,A5,GeneralResults!$A:$A,$C$1)=0,"",COUNTIFS(GeneralResults!$E:$E,A5,GeneralResults!$A:$A,$C$1))</f>
        <v/>
      </c>
      <c r="D5" s="5" t="str">
        <f>IF(COUNTIFS(GeneralResults!$E:$E,A5,GeneralResults!$A:$A,$D$1)=0,"",COUNTIFS(GeneralResults!$E:$E,A5,GeneralResults!$A:$A,$D$1))</f>
        <v/>
      </c>
      <c r="E5" s="15">
        <f t="shared" si="0"/>
        <v>0</v>
      </c>
    </row>
    <row r="6" spans="1:5" hidden="1">
      <c r="A6" s="5" t="s">
        <v>46</v>
      </c>
      <c r="B6" s="5" t="s">
        <v>47</v>
      </c>
      <c r="C6" s="5" t="str">
        <f>IF(COUNTIFS(GeneralResults!$E:$E,A6,GeneralResults!$A:$A,$C$1)=0,"",COUNTIFS(GeneralResults!$E:$E,A6,GeneralResults!$A:$A,$C$1))</f>
        <v/>
      </c>
      <c r="D6" s="5" t="str">
        <f>IF(COUNTIFS(GeneralResults!$E:$E,A6,GeneralResults!$A:$A,$D$1)=0,"",COUNTIFS(GeneralResults!$E:$E,A6,GeneralResults!$A:$A,$D$1))</f>
        <v/>
      </c>
      <c r="E6" s="15">
        <f t="shared" si="0"/>
        <v>0</v>
      </c>
    </row>
    <row r="7" spans="1:5" hidden="1">
      <c r="A7" s="5" t="s">
        <v>48</v>
      </c>
      <c r="B7" s="5" t="s">
        <v>49</v>
      </c>
      <c r="C7" s="5" t="str">
        <f>IF(COUNTIFS(GeneralResults!$E:$E,A7,GeneralResults!$A:$A,$C$1)=0,"",COUNTIFS(GeneralResults!$E:$E,A7,GeneralResults!$A:$A,$C$1))</f>
        <v/>
      </c>
      <c r="D7" s="5" t="str">
        <f>IF(COUNTIFS(GeneralResults!$E:$E,A7,GeneralResults!$A:$A,$D$1)=0,"",COUNTIFS(GeneralResults!$E:$E,A7,GeneralResults!$A:$A,$D$1))</f>
        <v/>
      </c>
      <c r="E7" s="15">
        <f t="shared" si="0"/>
        <v>0</v>
      </c>
    </row>
    <row r="8" spans="1:5" hidden="1">
      <c r="A8" s="5" t="s">
        <v>50</v>
      </c>
      <c r="B8" s="5" t="s">
        <v>51</v>
      </c>
      <c r="C8" s="5" t="str">
        <f>IF(COUNTIFS(GeneralResults!$E:$E,A8,GeneralResults!$A:$A,$C$1)=0,"",COUNTIFS(GeneralResults!$E:$E,A8,GeneralResults!$A:$A,$C$1))</f>
        <v/>
      </c>
      <c r="D8" s="5" t="str">
        <f>IF(COUNTIFS(GeneralResults!$E:$E,A8,GeneralResults!$A:$A,$D$1)=0,"",COUNTIFS(GeneralResults!$E:$E,A8,GeneralResults!$A:$A,$D$1))</f>
        <v/>
      </c>
      <c r="E8" s="15">
        <f t="shared" si="0"/>
        <v>0</v>
      </c>
    </row>
    <row r="9" spans="1:5" hidden="1">
      <c r="A9" s="5" t="s">
        <v>52</v>
      </c>
      <c r="B9" s="5" t="s">
        <v>53</v>
      </c>
      <c r="C9" s="5" t="str">
        <f>IF(COUNTIFS(GeneralResults!$E:$E,A9,GeneralResults!$A:$A,$C$1)=0,"",COUNTIFS(GeneralResults!$E:$E,A9,GeneralResults!$A:$A,$C$1))</f>
        <v/>
      </c>
      <c r="D9" s="5" t="str">
        <f>IF(COUNTIFS(GeneralResults!$E:$E,A9,GeneralResults!$A:$A,$D$1)=0,"",COUNTIFS(GeneralResults!$E:$E,A9,GeneralResults!$A:$A,$D$1))</f>
        <v/>
      </c>
      <c r="E9" s="15">
        <f t="shared" si="0"/>
        <v>0</v>
      </c>
    </row>
    <row r="10" spans="1:5" hidden="1">
      <c r="A10" s="5" t="s">
        <v>54</v>
      </c>
      <c r="B10" s="5" t="s">
        <v>55</v>
      </c>
      <c r="C10" s="5" t="str">
        <f>IF(COUNTIFS(GeneralResults!$E:$E,A10,GeneralResults!$A:$A,$C$1)=0,"",COUNTIFS(GeneralResults!$E:$E,A10,GeneralResults!$A:$A,$C$1))</f>
        <v/>
      </c>
      <c r="D10" s="5" t="str">
        <f>IF(COUNTIFS(GeneralResults!$E:$E,A10,GeneralResults!$A:$A,$D$1)=0,"",COUNTIFS(GeneralResults!$E:$E,A10,GeneralResults!$A:$A,$D$1))</f>
        <v/>
      </c>
      <c r="E10" s="15">
        <f t="shared" si="0"/>
        <v>0</v>
      </c>
    </row>
    <row r="11" spans="1:5" hidden="1">
      <c r="A11" s="5" t="s">
        <v>56</v>
      </c>
      <c r="B11" s="5" t="s">
        <v>57</v>
      </c>
      <c r="C11" s="5" t="str">
        <f>IF(COUNTIFS(GeneralResults!$E:$E,A11,GeneralResults!$A:$A,$C$1)=0,"",COUNTIFS(GeneralResults!$E:$E,A11,GeneralResults!$A:$A,$C$1))</f>
        <v/>
      </c>
      <c r="D11" s="5" t="str">
        <f>IF(COUNTIFS(GeneralResults!$E:$E,A11,GeneralResults!$A:$A,$D$1)=0,"",COUNTIFS(GeneralResults!$E:$E,A11,GeneralResults!$A:$A,$D$1))</f>
        <v/>
      </c>
      <c r="E11" s="15">
        <f t="shared" si="0"/>
        <v>0</v>
      </c>
    </row>
    <row r="12" spans="1:5">
      <c r="A12" s="5" t="s">
        <v>23</v>
      </c>
      <c r="B12" s="5" t="s">
        <v>59</v>
      </c>
      <c r="C12" s="5">
        <f>IF(COUNTIFS(GeneralResults!$E:$E,A12,GeneralResults!$A:$A,$C$1)=0,"",COUNTIFS(GeneralResults!$E:$E,A12,GeneralResults!$A:$A,$C$1))</f>
        <v>1</v>
      </c>
      <c r="D12" s="5">
        <f>IF(COUNTIFS(GeneralResults!$E:$E,A12,GeneralResults!$A:$A,$D$1)=0,"",COUNTIFS(GeneralResults!$E:$E,A12,GeneralResults!$A:$A,$D$1))</f>
        <v>11</v>
      </c>
      <c r="E12" s="15">
        <f t="shared" si="0"/>
        <v>1</v>
      </c>
    </row>
    <row r="13" spans="1:5" hidden="1">
      <c r="A13" s="5" t="s">
        <v>60</v>
      </c>
      <c r="B13" s="5" t="s">
        <v>61</v>
      </c>
      <c r="C13" s="5" t="str">
        <f>IF(COUNTIFS(GeneralResults!$E:$E,A13,GeneralResults!$A:$A,$C$1)=0,"",COUNTIFS(GeneralResults!$E:$E,A13,GeneralResults!$A:$A,$C$1))</f>
        <v/>
      </c>
      <c r="D13" s="5" t="str">
        <f>IF(COUNTIFS(GeneralResults!$E:$E,A13,GeneralResults!$A:$A,$D$1)=0,"",COUNTIFS(GeneralResults!$E:$E,A13,GeneralResults!$A:$A,$D$1))</f>
        <v/>
      </c>
      <c r="E13" s="15">
        <f t="shared" si="0"/>
        <v>0</v>
      </c>
    </row>
    <row r="14" spans="1:5" hidden="1">
      <c r="A14" s="5" t="s">
        <v>62</v>
      </c>
      <c r="B14" s="5" t="s">
        <v>63</v>
      </c>
      <c r="C14" s="5" t="str">
        <f>IF(COUNTIFS(GeneralResults!$E:$E,A14,GeneralResults!$A:$A,$C$1)=0,"",COUNTIFS(GeneralResults!$E:$E,A14,GeneralResults!$A:$A,$C$1))</f>
        <v/>
      </c>
      <c r="D14" s="5" t="str">
        <f>IF(COUNTIFS(GeneralResults!$E:$E,A14,GeneralResults!$A:$A,$D$1)=0,"",COUNTIFS(GeneralResults!$E:$E,A14,GeneralResults!$A:$A,$D$1))</f>
        <v/>
      </c>
      <c r="E14" s="15">
        <f t="shared" si="0"/>
        <v>0</v>
      </c>
    </row>
    <row r="15" spans="1:5" hidden="1">
      <c r="A15" s="5" t="s">
        <v>64</v>
      </c>
      <c r="B15" s="5" t="s">
        <v>65</v>
      </c>
      <c r="C15" s="5" t="str">
        <f>IF(COUNTIFS(GeneralResults!$E:$E,A15,GeneralResults!$A:$A,$C$1)=0,"",COUNTIFS(GeneralResults!$E:$E,A15,GeneralResults!$A:$A,$C$1))</f>
        <v/>
      </c>
      <c r="D15" s="5" t="str">
        <f>IF(COUNTIFS(GeneralResults!$E:$E,A15,GeneralResults!$A:$A,$D$1)=0,"",COUNTIFS(GeneralResults!$E:$E,A15,GeneralResults!$A:$A,$D$1))</f>
        <v/>
      </c>
      <c r="E15" s="15">
        <f t="shared" si="0"/>
        <v>0</v>
      </c>
    </row>
    <row r="16" spans="1:5" hidden="1">
      <c r="A16" s="5" t="s">
        <v>66</v>
      </c>
      <c r="B16" s="5" t="s">
        <v>67</v>
      </c>
      <c r="C16" s="5" t="str">
        <f>IF(COUNTIFS(GeneralResults!$E:$E,A16,GeneralResults!$A:$A,$C$1)=0,"",COUNTIFS(GeneralResults!$E:$E,A16,GeneralResults!$A:$A,$C$1))</f>
        <v/>
      </c>
      <c r="D16" s="5" t="str">
        <f>IF(COUNTIFS(GeneralResults!$E:$E,A16,GeneralResults!$A:$A,$D$1)=0,"",COUNTIFS(GeneralResults!$E:$E,A16,GeneralResults!$A:$A,$D$1))</f>
        <v/>
      </c>
      <c r="E16" s="15">
        <f t="shared" si="0"/>
        <v>0</v>
      </c>
    </row>
    <row r="17" spans="1:5" hidden="1">
      <c r="A17" s="5" t="s">
        <v>68</v>
      </c>
      <c r="B17" s="5" t="s">
        <v>69</v>
      </c>
      <c r="C17" s="5" t="str">
        <f>IF(COUNTIFS(GeneralResults!$E:$E,A17,GeneralResults!$A:$A,$C$1)=0,"",COUNTIFS(GeneralResults!$E:$E,A17,GeneralResults!$A:$A,$C$1))</f>
        <v/>
      </c>
      <c r="D17" s="5" t="str">
        <f>IF(COUNTIFS(GeneralResults!$E:$E,A17,GeneralResults!$A:$A,$D$1)=0,"",COUNTIFS(GeneralResults!$E:$E,A17,GeneralResults!$A:$A,$D$1))</f>
        <v/>
      </c>
      <c r="E17" s="15">
        <f t="shared" si="0"/>
        <v>0</v>
      </c>
    </row>
    <row r="18" spans="1:5" hidden="1">
      <c r="A18" s="5" t="s">
        <v>71</v>
      </c>
      <c r="B18" s="5" t="s">
        <v>72</v>
      </c>
      <c r="C18" s="5" t="str">
        <f>IF(COUNTIFS(GeneralResults!$E:$E,A18,GeneralResults!$A:$A,$C$1)=0,"",COUNTIFS(GeneralResults!$E:$E,A18,GeneralResults!$A:$A,$C$1))</f>
        <v/>
      </c>
      <c r="D18" s="5" t="str">
        <f>IF(COUNTIFS(GeneralResults!$E:$E,A18,GeneralResults!$A:$A,$D$1)=0,"",COUNTIFS(GeneralResults!$E:$E,A18,GeneralResults!$A:$A,$D$1))</f>
        <v/>
      </c>
      <c r="E18" s="15">
        <f t="shared" si="0"/>
        <v>0</v>
      </c>
    </row>
    <row r="19" spans="1:5" hidden="1">
      <c r="A19" s="5" t="s">
        <v>73</v>
      </c>
      <c r="B19" s="5" t="s">
        <v>74</v>
      </c>
      <c r="C19" s="5" t="str">
        <f>IF(COUNTIFS(GeneralResults!$E:$E,A19,GeneralResults!$A:$A,$C$1)=0,"",COUNTIFS(GeneralResults!$E:$E,A19,GeneralResults!$A:$A,$C$1))</f>
        <v/>
      </c>
      <c r="D19" s="5" t="str">
        <f>IF(COUNTIFS(GeneralResults!$E:$E,A19,GeneralResults!$A:$A,$D$1)=0,"",COUNTIFS(GeneralResults!$E:$E,A19,GeneralResults!$A:$A,$D$1))</f>
        <v/>
      </c>
      <c r="E19" s="15">
        <f t="shared" si="0"/>
        <v>0</v>
      </c>
    </row>
    <row r="20" spans="1:5">
      <c r="A20" s="5" t="s">
        <v>16</v>
      </c>
      <c r="B20" s="5" t="s">
        <v>75</v>
      </c>
      <c r="C20" s="5">
        <f>IF(COUNTIFS(GeneralResults!$E:$E,A20,GeneralResults!$A:$A,$C$1)=0,"",COUNTIFS(GeneralResults!$E:$E,A20,GeneralResults!$A:$A,$C$1))</f>
        <v>6</v>
      </c>
      <c r="D20" s="5">
        <f>IF(COUNTIFS(GeneralResults!$E:$E,A20,GeneralResults!$A:$A,$D$1)=0,"",COUNTIFS(GeneralResults!$E:$E,A20,GeneralResults!$A:$A,$D$1))</f>
        <v>26</v>
      </c>
      <c r="E20" s="15">
        <f t="shared" si="0"/>
        <v>1</v>
      </c>
    </row>
    <row r="21" spans="1:5" ht="15.75" hidden="1" customHeight="1">
      <c r="A21" s="5" t="s">
        <v>76</v>
      </c>
      <c r="B21" s="5" t="s">
        <v>77</v>
      </c>
      <c r="C21" s="5" t="str">
        <f>IF(COUNTIFS(GeneralResults!$E:$E,A21,GeneralResults!$A:$A,$C$1)=0,"",COUNTIFS(GeneralResults!$E:$E,A21,GeneralResults!$A:$A,$C$1))</f>
        <v/>
      </c>
      <c r="D21" s="5" t="str">
        <f>IF(COUNTIFS(GeneralResults!$E:$E,A21,GeneralResults!$A:$A,$D$1)=0,"",COUNTIFS(GeneralResults!$E:$E,A21,GeneralResults!$A:$A,$D$1))</f>
        <v/>
      </c>
      <c r="E21" s="15">
        <f t="shared" si="0"/>
        <v>0</v>
      </c>
    </row>
    <row r="22" spans="1:5" ht="15.75" hidden="1" customHeight="1">
      <c r="A22" s="5" t="s">
        <v>78</v>
      </c>
      <c r="B22" s="5" t="s">
        <v>79</v>
      </c>
      <c r="C22" s="5" t="str">
        <f>IF(COUNTIFS(GeneralResults!$E:$E,A22,GeneralResults!$A:$A,$C$1)=0,"",COUNTIFS(GeneralResults!$E:$E,A22,GeneralResults!$A:$A,$C$1))</f>
        <v/>
      </c>
      <c r="D22" s="5" t="str">
        <f>IF(COUNTIFS(GeneralResults!$E:$E,A22,GeneralResults!$A:$A,$D$1)=0,"",COUNTIFS(GeneralResults!$E:$E,A22,GeneralResults!$A:$A,$D$1))</f>
        <v/>
      </c>
      <c r="E22" s="15">
        <f t="shared" si="0"/>
        <v>0</v>
      </c>
    </row>
    <row r="23" spans="1:5" ht="15.75" hidden="1" customHeight="1">
      <c r="A23" s="5" t="s">
        <v>80</v>
      </c>
      <c r="B23" s="5" t="s">
        <v>81</v>
      </c>
      <c r="C23" s="5" t="str">
        <f>IF(COUNTIFS(GeneralResults!$E:$E,A23,GeneralResults!$A:$A,$C$1)=0,"",COUNTIFS(GeneralResults!$E:$E,A23,GeneralResults!$A:$A,$C$1))</f>
        <v/>
      </c>
      <c r="D23" s="5" t="str">
        <f>IF(COUNTIFS(GeneralResults!$E:$E,A23,GeneralResults!$A:$A,$D$1)=0,"",COUNTIFS(GeneralResults!$E:$E,A23,GeneralResults!$A:$A,$D$1))</f>
        <v/>
      </c>
      <c r="E23" s="15">
        <f t="shared" si="0"/>
        <v>0</v>
      </c>
    </row>
    <row r="24" spans="1:5" ht="15.75" hidden="1" customHeight="1">
      <c r="A24" s="5" t="s">
        <v>82</v>
      </c>
      <c r="B24" s="5" t="s">
        <v>83</v>
      </c>
      <c r="C24" s="5" t="str">
        <f>IF(COUNTIFS(GeneralResults!$E:$E,A24,GeneralResults!$A:$A,$C$1)=0,"",COUNTIFS(GeneralResults!$E:$E,A24,GeneralResults!$A:$A,$C$1))</f>
        <v/>
      </c>
      <c r="D24" s="5" t="str">
        <f>IF(COUNTIFS(GeneralResults!$E:$E,A24,GeneralResults!$A:$A,$D$1)=0,"",COUNTIFS(GeneralResults!$E:$E,A24,GeneralResults!$A:$A,$D$1))</f>
        <v/>
      </c>
      <c r="E24" s="15">
        <f t="shared" si="0"/>
        <v>0</v>
      </c>
    </row>
    <row r="25" spans="1:5" ht="15.75" hidden="1" customHeight="1">
      <c r="A25" s="5" t="s">
        <v>84</v>
      </c>
      <c r="B25" s="5" t="s">
        <v>85</v>
      </c>
      <c r="C25" s="5" t="str">
        <f>IF(COUNTIFS(GeneralResults!$E:$E,A25,GeneralResults!$A:$A,$C$1)=0,"",COUNTIFS(GeneralResults!$E:$E,A25,GeneralResults!$A:$A,$C$1))</f>
        <v/>
      </c>
      <c r="D25" s="5" t="str">
        <f>IF(COUNTIFS(GeneralResults!$E:$E,A25,GeneralResults!$A:$A,$D$1)=0,"",COUNTIFS(GeneralResults!$E:$E,A25,GeneralResults!$A:$A,$D$1))</f>
        <v/>
      </c>
      <c r="E25" s="15">
        <f t="shared" si="0"/>
        <v>0</v>
      </c>
    </row>
    <row r="26" spans="1:5" ht="15.75" hidden="1" customHeight="1">
      <c r="A26" s="5" t="s">
        <v>86</v>
      </c>
      <c r="B26" s="5" t="s">
        <v>87</v>
      </c>
      <c r="C26" s="5" t="str">
        <f>IF(COUNTIFS(GeneralResults!$E:$E,A26,GeneralResults!$A:$A,$C$1)=0,"",COUNTIFS(GeneralResults!$E:$E,A26,GeneralResults!$A:$A,$C$1))</f>
        <v/>
      </c>
      <c r="D26" s="5" t="str">
        <f>IF(COUNTIFS(GeneralResults!$E:$E,A26,GeneralResults!$A:$A,$D$1)=0,"",COUNTIFS(GeneralResults!$E:$E,A26,GeneralResults!$A:$A,$D$1))</f>
        <v/>
      </c>
      <c r="E26" s="15">
        <f t="shared" si="0"/>
        <v>0</v>
      </c>
    </row>
    <row r="27" spans="1:5" ht="15.75" hidden="1" customHeight="1">
      <c r="A27" s="5" t="s">
        <v>88</v>
      </c>
      <c r="B27" s="5" t="s">
        <v>89</v>
      </c>
      <c r="C27" s="5" t="str">
        <f>IF(COUNTIFS(GeneralResults!$E:$E,A27,GeneralResults!$A:$A,$C$1)=0,"",COUNTIFS(GeneralResults!$E:$E,A27,GeneralResults!$A:$A,$C$1))</f>
        <v/>
      </c>
      <c r="D27" s="5" t="str">
        <f>IF(COUNTIFS(GeneralResults!$E:$E,A27,GeneralResults!$A:$A,$D$1)=0,"",COUNTIFS(GeneralResults!$E:$E,A27,GeneralResults!$A:$A,$D$1))</f>
        <v/>
      </c>
      <c r="E27" s="15">
        <f t="shared" si="0"/>
        <v>0</v>
      </c>
    </row>
    <row r="28" spans="1:5" ht="15.75" hidden="1" customHeight="1">
      <c r="A28" s="5" t="s">
        <v>90</v>
      </c>
      <c r="B28" s="5" t="s">
        <v>91</v>
      </c>
      <c r="C28" s="5" t="str">
        <f>IF(COUNTIFS(GeneralResults!$E:$E,A28,GeneralResults!$A:$A,$C$1)=0,"",COUNTIFS(GeneralResults!$E:$E,A28,GeneralResults!$A:$A,$C$1))</f>
        <v/>
      </c>
      <c r="D28" s="5" t="str">
        <f>IF(COUNTIFS(GeneralResults!$E:$E,A28,GeneralResults!$A:$A,$D$1)=0,"",COUNTIFS(GeneralResults!$E:$E,A28,GeneralResults!$A:$A,$D$1))</f>
        <v/>
      </c>
      <c r="E28" s="15">
        <f t="shared" si="0"/>
        <v>0</v>
      </c>
    </row>
    <row r="29" spans="1:5" ht="15.75" hidden="1" customHeight="1">
      <c r="A29" s="5" t="s">
        <v>92</v>
      </c>
      <c r="B29" s="5" t="s">
        <v>93</v>
      </c>
      <c r="C29" s="5" t="str">
        <f>IF(COUNTIFS(GeneralResults!$E:$E,A29,GeneralResults!$A:$A,$C$1)=0,"",COUNTIFS(GeneralResults!$E:$E,A29,GeneralResults!$A:$A,$C$1))</f>
        <v/>
      </c>
      <c r="D29" s="5" t="str">
        <f>IF(COUNTIFS(GeneralResults!$E:$E,A29,GeneralResults!$A:$A,$D$1)=0,"",COUNTIFS(GeneralResults!$E:$E,A29,GeneralResults!$A:$A,$D$1))</f>
        <v/>
      </c>
      <c r="E29" s="15">
        <f t="shared" si="0"/>
        <v>0</v>
      </c>
    </row>
    <row r="30" spans="1:5" ht="15.75" hidden="1" customHeight="1">
      <c r="A30" s="5" t="s">
        <v>94</v>
      </c>
      <c r="B30" s="5" t="s">
        <v>95</v>
      </c>
      <c r="C30" s="5" t="str">
        <f>IF(COUNTIFS(GeneralResults!$E:$E,A30,GeneralResults!$A:$A,$C$1)=0,"",COUNTIFS(GeneralResults!$E:$E,A30,GeneralResults!$A:$A,$C$1))</f>
        <v/>
      </c>
      <c r="D30" s="5" t="str">
        <f>IF(COUNTIFS(GeneralResults!$E:$E,A30,GeneralResults!$A:$A,$D$1)=0,"",COUNTIFS(GeneralResults!$E:$E,A30,GeneralResults!$A:$A,$D$1))</f>
        <v/>
      </c>
      <c r="E30" s="15">
        <f t="shared" si="0"/>
        <v>0</v>
      </c>
    </row>
    <row r="31" spans="1:5" ht="15.75" hidden="1" customHeight="1">
      <c r="A31" s="5" t="s">
        <v>99</v>
      </c>
      <c r="B31" s="5" t="s">
        <v>100</v>
      </c>
      <c r="C31" s="5" t="str">
        <f>IF(COUNTIFS(GeneralResults!$E:$E,A31,GeneralResults!$A:$A,$C$1)=0,"",COUNTIFS(GeneralResults!$E:$E,A31,GeneralResults!$A:$A,$C$1))</f>
        <v/>
      </c>
      <c r="D31" s="5" t="str">
        <f>IF(COUNTIFS(GeneralResults!$E:$E,A31,GeneralResults!$A:$A,$D$1)=0,"",COUNTIFS(GeneralResults!$E:$E,A31,GeneralResults!$A:$A,$D$1))</f>
        <v/>
      </c>
      <c r="E31" s="15">
        <f t="shared" si="0"/>
        <v>0</v>
      </c>
    </row>
    <row r="32" spans="1:5" ht="15.75" hidden="1" customHeight="1">
      <c r="A32" s="5" t="s">
        <v>101</v>
      </c>
      <c r="B32" s="5" t="s">
        <v>102</v>
      </c>
      <c r="C32" s="5" t="str">
        <f>IF(COUNTIFS(GeneralResults!$E:$E,A32,GeneralResults!$A:$A,$C$1)=0,"",COUNTIFS(GeneralResults!$E:$E,A32,GeneralResults!$A:$A,$C$1))</f>
        <v/>
      </c>
      <c r="D32" s="5" t="str">
        <f>IF(COUNTIFS(GeneralResults!$E:$E,A32,GeneralResults!$A:$A,$D$1)=0,"",COUNTIFS(GeneralResults!$E:$E,A32,GeneralResults!$A:$A,$D$1))</f>
        <v/>
      </c>
      <c r="E32" s="15">
        <f t="shared" si="0"/>
        <v>0</v>
      </c>
    </row>
    <row r="33" spans="1:5" ht="15.75" hidden="1" customHeight="1">
      <c r="A33" s="5" t="s">
        <v>103</v>
      </c>
      <c r="B33" s="5" t="s">
        <v>104</v>
      </c>
      <c r="C33" s="5" t="str">
        <f>IF(COUNTIFS(GeneralResults!$E:$E,A33,GeneralResults!$A:$A,$C$1)=0,"",COUNTIFS(GeneralResults!$E:$E,A33,GeneralResults!$A:$A,$C$1))</f>
        <v/>
      </c>
      <c r="D33" s="5" t="str">
        <f>IF(COUNTIFS(GeneralResults!$E:$E,A33,GeneralResults!$A:$A,$D$1)=0,"",COUNTIFS(GeneralResults!$E:$E,A33,GeneralResults!$A:$A,$D$1))</f>
        <v/>
      </c>
      <c r="E33" s="15">
        <f t="shared" si="0"/>
        <v>0</v>
      </c>
    </row>
    <row r="34" spans="1:5" ht="15.75" hidden="1" customHeight="1">
      <c r="A34" s="5" t="s">
        <v>105</v>
      </c>
      <c r="B34" s="5" t="s">
        <v>106</v>
      </c>
      <c r="C34" s="5" t="str">
        <f>IF(COUNTIFS(GeneralResults!$E:$E,A34,GeneralResults!$A:$A,$C$1)=0,"",COUNTIFS(GeneralResults!$E:$E,A34,GeneralResults!$A:$A,$C$1))</f>
        <v/>
      </c>
      <c r="D34" s="5" t="str">
        <f>IF(COUNTIFS(GeneralResults!$E:$E,A34,GeneralResults!$A:$A,$D$1)=0,"",COUNTIFS(GeneralResults!$E:$E,A34,GeneralResults!$A:$A,$D$1))</f>
        <v/>
      </c>
      <c r="E34" s="15">
        <f t="shared" si="0"/>
        <v>0</v>
      </c>
    </row>
    <row r="35" spans="1:5" ht="15.75" hidden="1" customHeight="1">
      <c r="A35" s="5" t="s">
        <v>109</v>
      </c>
      <c r="B35" s="5" t="s">
        <v>110</v>
      </c>
      <c r="C35" s="5" t="str">
        <f>IF(COUNTIFS(GeneralResults!$E:$E,A35,GeneralResults!$A:$A,$C$1)=0,"",COUNTIFS(GeneralResults!$E:$E,A35,GeneralResults!$A:$A,$C$1))</f>
        <v/>
      </c>
      <c r="D35" s="5" t="str">
        <f>IF(COUNTIFS(GeneralResults!$E:$E,A35,GeneralResults!$A:$A,$D$1)=0,"",COUNTIFS(GeneralResults!$E:$E,A35,GeneralResults!$A:$A,$D$1))</f>
        <v/>
      </c>
      <c r="E35" s="15">
        <f t="shared" si="0"/>
        <v>0</v>
      </c>
    </row>
    <row r="36" spans="1:5" ht="15.75" hidden="1" customHeight="1">
      <c r="A36" s="5" t="s">
        <v>111</v>
      </c>
      <c r="B36" s="5" t="s">
        <v>112</v>
      </c>
      <c r="C36" s="5" t="str">
        <f>IF(COUNTIFS(GeneralResults!$E:$E,A36,GeneralResults!$A:$A,$C$1)=0,"",COUNTIFS(GeneralResults!$E:$E,A36,GeneralResults!$A:$A,$C$1))</f>
        <v/>
      </c>
      <c r="D36" s="5" t="str">
        <f>IF(COUNTIFS(GeneralResults!$E:$E,A36,GeneralResults!$A:$A,$D$1)=0,"",COUNTIFS(GeneralResults!$E:$E,A36,GeneralResults!$A:$A,$D$1))</f>
        <v/>
      </c>
      <c r="E36" s="15">
        <f t="shared" si="0"/>
        <v>0</v>
      </c>
    </row>
    <row r="37" spans="1:5" ht="15.75" hidden="1" customHeight="1">
      <c r="A37" s="5" t="s">
        <v>113</v>
      </c>
      <c r="B37" s="5" t="s">
        <v>114</v>
      </c>
      <c r="C37" s="5" t="str">
        <f>IF(COUNTIFS(GeneralResults!$E:$E,A37,GeneralResults!$A:$A,$C$1)=0,"",COUNTIFS(GeneralResults!$E:$E,A37,GeneralResults!$A:$A,$C$1))</f>
        <v/>
      </c>
      <c r="D37" s="5" t="str">
        <f>IF(COUNTIFS(GeneralResults!$E:$E,A37,GeneralResults!$A:$A,$D$1)=0,"",COUNTIFS(GeneralResults!$E:$E,A37,GeneralResults!$A:$A,$D$1))</f>
        <v/>
      </c>
      <c r="E37" s="15">
        <f t="shared" si="0"/>
        <v>0</v>
      </c>
    </row>
    <row r="38" spans="1:5" ht="15.75" hidden="1" customHeight="1">
      <c r="A38" s="5" t="s">
        <v>115</v>
      </c>
      <c r="B38" s="5" t="s">
        <v>116</v>
      </c>
      <c r="C38" s="5" t="str">
        <f>IF(COUNTIFS(GeneralResults!$E:$E,A38,GeneralResults!$A:$A,$C$1)=0,"",COUNTIFS(GeneralResults!$E:$E,A38,GeneralResults!$A:$A,$C$1))</f>
        <v/>
      </c>
      <c r="D38" s="5" t="str">
        <f>IF(COUNTIFS(GeneralResults!$E:$E,A38,GeneralResults!$A:$A,$D$1)=0,"",COUNTIFS(GeneralResults!$E:$E,A38,GeneralResults!$A:$A,$D$1))</f>
        <v/>
      </c>
      <c r="E38" s="15">
        <f t="shared" si="0"/>
        <v>0</v>
      </c>
    </row>
    <row r="39" spans="1:5" ht="15.75" hidden="1" customHeight="1">
      <c r="A39" s="5" t="s">
        <v>117</v>
      </c>
      <c r="B39" s="5" t="s">
        <v>118</v>
      </c>
      <c r="C39" s="5" t="str">
        <f>IF(COUNTIFS(GeneralResults!$E:$E,A39,GeneralResults!$A:$A,$C$1)=0,"",COUNTIFS(GeneralResults!$E:$E,A39,GeneralResults!$A:$A,$C$1))</f>
        <v/>
      </c>
      <c r="D39" s="5" t="str">
        <f>IF(COUNTIFS(GeneralResults!$E:$E,A39,GeneralResults!$A:$A,$D$1)=0,"",COUNTIFS(GeneralResults!$E:$E,A39,GeneralResults!$A:$A,$D$1))</f>
        <v/>
      </c>
      <c r="E39" s="15">
        <f t="shared" si="0"/>
        <v>0</v>
      </c>
    </row>
    <row r="40" spans="1:5" ht="15.75" hidden="1" customHeight="1">
      <c r="A40" s="5" t="s">
        <v>119</v>
      </c>
      <c r="B40" s="5" t="s">
        <v>120</v>
      </c>
      <c r="C40" s="5" t="str">
        <f>IF(COUNTIFS(GeneralResults!$E:$E,A40,GeneralResults!$A:$A,$C$1)=0,"",COUNTIFS(GeneralResults!$E:$E,A40,GeneralResults!$A:$A,$C$1))</f>
        <v/>
      </c>
      <c r="D40" s="5" t="str">
        <f>IF(COUNTIFS(GeneralResults!$E:$E,A40,GeneralResults!$A:$A,$D$1)=0,"",COUNTIFS(GeneralResults!$E:$E,A40,GeneralResults!$A:$A,$D$1))</f>
        <v/>
      </c>
      <c r="E40" s="15">
        <f t="shared" si="0"/>
        <v>0</v>
      </c>
    </row>
    <row r="41" spans="1:5" ht="15.75" hidden="1" customHeight="1">
      <c r="A41" s="5" t="s">
        <v>123</v>
      </c>
      <c r="B41" s="5" t="s">
        <v>124</v>
      </c>
      <c r="C41" s="5" t="str">
        <f>IF(COUNTIFS(GeneralResults!$E:$E,A41,GeneralResults!$A:$A,$C$1)=0,"",COUNTIFS(GeneralResults!$E:$E,A41,GeneralResults!$A:$A,$C$1))</f>
        <v/>
      </c>
      <c r="D41" s="5" t="str">
        <f>IF(COUNTIFS(GeneralResults!$E:$E,A41,GeneralResults!$A:$A,$D$1)=0,"",COUNTIFS(GeneralResults!$E:$E,A41,GeneralResults!$A:$A,$D$1))</f>
        <v/>
      </c>
      <c r="E41" s="15">
        <f t="shared" si="0"/>
        <v>0</v>
      </c>
    </row>
    <row r="42" spans="1:5" ht="15.75" hidden="1" customHeight="1">
      <c r="A42" s="5" t="s">
        <v>125</v>
      </c>
      <c r="B42" s="5" t="s">
        <v>126</v>
      </c>
      <c r="C42" s="5" t="str">
        <f>IF(COUNTIFS(GeneralResults!$E:$E,A42,GeneralResults!$A:$A,$C$1)=0,"",COUNTIFS(GeneralResults!$E:$E,A42,GeneralResults!$A:$A,$C$1))</f>
        <v/>
      </c>
      <c r="D42" s="5" t="str">
        <f>IF(COUNTIFS(GeneralResults!$E:$E,A42,GeneralResults!$A:$A,$D$1)=0,"",COUNTIFS(GeneralResults!$E:$E,A42,GeneralResults!$A:$A,$D$1))</f>
        <v/>
      </c>
      <c r="E42" s="15">
        <f t="shared" si="0"/>
        <v>0</v>
      </c>
    </row>
    <row r="43" spans="1:5" ht="15.75" hidden="1" customHeight="1">
      <c r="A43" s="5" t="s">
        <v>127</v>
      </c>
      <c r="B43" s="5" t="s">
        <v>128</v>
      </c>
      <c r="C43" s="5" t="str">
        <f>IF(COUNTIFS(GeneralResults!$E:$E,A43,GeneralResults!$A:$A,$C$1)=0,"",COUNTIFS(GeneralResults!$E:$E,A43,GeneralResults!$A:$A,$C$1))</f>
        <v/>
      </c>
      <c r="D43" s="5" t="str">
        <f>IF(COUNTIFS(GeneralResults!$E:$E,A43,GeneralResults!$A:$A,$D$1)=0,"",COUNTIFS(GeneralResults!$E:$E,A43,GeneralResults!$A:$A,$D$1))</f>
        <v/>
      </c>
      <c r="E43" s="15">
        <f t="shared" si="0"/>
        <v>0</v>
      </c>
    </row>
    <row r="44" spans="1:5" ht="15.75" customHeight="1">
      <c r="A44" s="5" t="s">
        <v>28</v>
      </c>
      <c r="B44" s="5" t="s">
        <v>130</v>
      </c>
      <c r="C44" s="5">
        <f>IF(COUNTIFS(GeneralResults!$E:$E,A44,GeneralResults!$A:$A,$C$1)=0,"",COUNTIFS(GeneralResults!$E:$E,A44,GeneralResults!$A:$A,$C$1))</f>
        <v>1</v>
      </c>
      <c r="D44" s="5">
        <f>IF(COUNTIFS(GeneralResults!$E:$E,A44,GeneralResults!$A:$A,$D$1)=0,"",COUNTIFS(GeneralResults!$E:$E,A44,GeneralResults!$A:$A,$D$1))</f>
        <v>1</v>
      </c>
      <c r="E44" s="15">
        <f t="shared" si="0"/>
        <v>1</v>
      </c>
    </row>
    <row r="45" spans="1:5" ht="15.75" customHeight="1">
      <c r="A45" s="5" t="s">
        <v>11</v>
      </c>
      <c r="B45" s="5" t="s">
        <v>131</v>
      </c>
      <c r="C45" s="5">
        <f>IF(COUNTIFS(GeneralResults!$E:$E,A45,GeneralResults!$A:$A,$C$1)=0,"",COUNTIFS(GeneralResults!$E:$E,A45,GeneralResults!$A:$A,$C$1))</f>
        <v>6</v>
      </c>
      <c r="D45" s="5">
        <f>IF(COUNTIFS(GeneralResults!$E:$E,A45,GeneralResults!$A:$A,$D$1)=0,"",COUNTIFS(GeneralResults!$E:$E,A45,GeneralResults!$A:$A,$D$1))</f>
        <v>6</v>
      </c>
      <c r="E45" s="15">
        <f t="shared" si="0"/>
        <v>1</v>
      </c>
    </row>
    <row r="46" spans="1:5" ht="15.75" hidden="1" customHeight="1">
      <c r="A46" s="5" t="s">
        <v>132</v>
      </c>
      <c r="B46" s="5" t="s">
        <v>133</v>
      </c>
      <c r="C46" s="5" t="str">
        <f>IF(COUNTIFS(GeneralResults!$E:$E,A46,GeneralResults!$A:$A,$C$1)=0,"",COUNTIFS(GeneralResults!$E:$E,A46,GeneralResults!$A:$A,$C$1))</f>
        <v/>
      </c>
      <c r="D46" s="5" t="str">
        <f>IF(COUNTIFS(GeneralResults!$E:$E,A46,GeneralResults!$A:$A,$D$1)=0,"",COUNTIFS(GeneralResults!$E:$E,A46,GeneralResults!$A:$A,$D$1))</f>
        <v/>
      </c>
      <c r="E46" s="15">
        <f t="shared" si="0"/>
        <v>0</v>
      </c>
    </row>
    <row r="47" spans="1:5" ht="15.75" hidden="1" customHeight="1">
      <c r="A47" s="5" t="s">
        <v>134</v>
      </c>
      <c r="B47" s="5" t="s">
        <v>135</v>
      </c>
      <c r="C47" s="5" t="str">
        <f>IF(COUNTIFS(GeneralResults!$E:$E,A47,GeneralResults!$A:$A,$C$1)=0,"",COUNTIFS(GeneralResults!$E:$E,A47,GeneralResults!$A:$A,$C$1))</f>
        <v/>
      </c>
      <c r="D47" s="5" t="str">
        <f>IF(COUNTIFS(GeneralResults!$E:$E,A47,GeneralResults!$A:$A,$D$1)=0,"",COUNTIFS(GeneralResults!$E:$E,A47,GeneralResults!$A:$A,$D$1))</f>
        <v/>
      </c>
      <c r="E47" s="15">
        <f t="shared" si="0"/>
        <v>0</v>
      </c>
    </row>
    <row r="48" spans="1:5" ht="15.75" hidden="1" customHeight="1">
      <c r="A48" s="5" t="s">
        <v>136</v>
      </c>
      <c r="B48" s="5" t="s">
        <v>137</v>
      </c>
      <c r="C48" s="5" t="str">
        <f>IF(COUNTIFS(GeneralResults!$E:$E,A48,GeneralResults!$A:$A,$C$1)=0,"",COUNTIFS(GeneralResults!$E:$E,A48,GeneralResults!$A:$A,$C$1))</f>
        <v/>
      </c>
      <c r="D48" s="5" t="str">
        <f>IF(COUNTIFS(GeneralResults!$E:$E,A48,GeneralResults!$A:$A,$D$1)=0,"",COUNTIFS(GeneralResults!$E:$E,A48,GeneralResults!$A:$A,$D$1))</f>
        <v/>
      </c>
      <c r="E48" s="15">
        <f t="shared" si="0"/>
        <v>0</v>
      </c>
    </row>
    <row r="49" spans="1:5" ht="15.75" hidden="1" customHeight="1">
      <c r="A49" s="5" t="s">
        <v>138</v>
      </c>
      <c r="B49" s="5" t="s">
        <v>139</v>
      </c>
      <c r="C49" s="5" t="str">
        <f>IF(COUNTIFS(GeneralResults!$E:$E,A49,GeneralResults!$A:$A,$C$1)=0,"",COUNTIFS(GeneralResults!$E:$E,A49,GeneralResults!$A:$A,$C$1))</f>
        <v/>
      </c>
      <c r="D49" s="5" t="str">
        <f>IF(COUNTIFS(GeneralResults!$E:$E,A49,GeneralResults!$A:$A,$D$1)=0,"",COUNTIFS(GeneralResults!$E:$E,A49,GeneralResults!$A:$A,$D$1))</f>
        <v/>
      </c>
      <c r="E49" s="15">
        <f t="shared" si="0"/>
        <v>0</v>
      </c>
    </row>
    <row r="50" spans="1:5" ht="15.75" hidden="1" customHeight="1">
      <c r="A50" s="5" t="s">
        <v>140</v>
      </c>
      <c r="B50" s="5" t="s">
        <v>141</v>
      </c>
      <c r="C50" s="5" t="str">
        <f>IF(COUNTIFS(GeneralResults!$E:$E,A50,GeneralResults!$A:$A,$C$1)=0,"",COUNTIFS(GeneralResults!$E:$E,A50,GeneralResults!$A:$A,$C$1))</f>
        <v/>
      </c>
      <c r="D50" s="5" t="str">
        <f>IF(COUNTIFS(GeneralResults!$E:$E,A50,GeneralResults!$A:$A,$D$1)=0,"",COUNTIFS(GeneralResults!$E:$E,A50,GeneralResults!$A:$A,$D$1))</f>
        <v/>
      </c>
      <c r="E50" s="15">
        <f t="shared" si="0"/>
        <v>0</v>
      </c>
    </row>
    <row r="51" spans="1:5" ht="15.75" hidden="1" customHeight="1">
      <c r="A51" s="5" t="s">
        <v>142</v>
      </c>
      <c r="B51" s="5" t="s">
        <v>143</v>
      </c>
      <c r="C51" s="5" t="str">
        <f>IF(COUNTIFS(GeneralResults!$E:$E,A51,GeneralResults!$A:$A,$C$1)=0,"",COUNTIFS(GeneralResults!$E:$E,A51,GeneralResults!$A:$A,$C$1))</f>
        <v/>
      </c>
      <c r="D51" s="5" t="str">
        <f>IF(COUNTIFS(GeneralResults!$E:$E,A51,GeneralResults!$A:$A,$D$1)=0,"",COUNTIFS(GeneralResults!$E:$E,A51,GeneralResults!$A:$A,$D$1))</f>
        <v/>
      </c>
      <c r="E51" s="15">
        <f t="shared" si="0"/>
        <v>0</v>
      </c>
    </row>
    <row r="52" spans="1:5" ht="15.75" hidden="1" customHeight="1">
      <c r="A52" s="5" t="s">
        <v>144</v>
      </c>
      <c r="B52" s="5" t="s">
        <v>145</v>
      </c>
      <c r="C52" s="5" t="str">
        <f>IF(COUNTIFS(GeneralResults!$E:$E,A52,GeneralResults!$A:$A,$C$1)=0,"",COUNTIFS(GeneralResults!$E:$E,A52,GeneralResults!$A:$A,$C$1))</f>
        <v/>
      </c>
      <c r="D52" s="5" t="str">
        <f>IF(COUNTIFS(GeneralResults!$E:$E,A52,GeneralResults!$A:$A,$D$1)=0,"",COUNTIFS(GeneralResults!$E:$E,A52,GeneralResults!$A:$A,$D$1))</f>
        <v/>
      </c>
      <c r="E52" s="15">
        <f t="shared" si="0"/>
        <v>0</v>
      </c>
    </row>
    <row r="53" spans="1:5" ht="15.75" hidden="1" customHeight="1">
      <c r="A53" s="5" t="s">
        <v>146</v>
      </c>
      <c r="B53" s="5" t="s">
        <v>147</v>
      </c>
      <c r="C53" s="5" t="str">
        <f>IF(COUNTIFS(GeneralResults!$E:$E,A53,GeneralResults!$A:$A,$C$1)=0,"",COUNTIFS(GeneralResults!$E:$E,A53,GeneralResults!$A:$A,$C$1))</f>
        <v/>
      </c>
      <c r="D53" s="5" t="str">
        <f>IF(COUNTIFS(GeneralResults!$E:$E,A53,GeneralResults!$A:$A,$D$1)=0,"",COUNTIFS(GeneralResults!$E:$E,A53,GeneralResults!$A:$A,$D$1))</f>
        <v/>
      </c>
      <c r="E53" s="15">
        <f t="shared" si="0"/>
        <v>0</v>
      </c>
    </row>
    <row r="54" spans="1:5" ht="15.75" hidden="1" customHeight="1">
      <c r="A54" s="5" t="s">
        <v>150</v>
      </c>
      <c r="B54" s="5" t="s">
        <v>151</v>
      </c>
      <c r="C54" s="5" t="str">
        <f>IF(COUNTIFS(GeneralResults!$E:$E,A54,GeneralResults!$A:$A,$C$1)=0,"",COUNTIFS(GeneralResults!$E:$E,A54,GeneralResults!$A:$A,$C$1))</f>
        <v/>
      </c>
      <c r="D54" s="5" t="str">
        <f>IF(COUNTIFS(GeneralResults!$E:$E,A54,GeneralResults!$A:$A,$D$1)=0,"",COUNTIFS(GeneralResults!$E:$E,A54,GeneralResults!$A:$A,$D$1))</f>
        <v/>
      </c>
      <c r="E54" s="15">
        <f t="shared" si="0"/>
        <v>0</v>
      </c>
    </row>
    <row r="55" spans="1:5" ht="15.75" hidden="1" customHeight="1">
      <c r="A55" s="5" t="s">
        <v>152</v>
      </c>
      <c r="B55" s="5" t="s">
        <v>153</v>
      </c>
      <c r="C55" s="5" t="str">
        <f>IF(COUNTIFS(GeneralResults!$E:$E,A55,GeneralResults!$A:$A,$C$1)=0,"",COUNTIFS(GeneralResults!$E:$E,A55,GeneralResults!$A:$A,$C$1))</f>
        <v/>
      </c>
      <c r="D55" s="5" t="str">
        <f>IF(COUNTIFS(GeneralResults!$E:$E,A55,GeneralResults!$A:$A,$D$1)=0,"",COUNTIFS(GeneralResults!$E:$E,A55,GeneralResults!$A:$A,$D$1))</f>
        <v/>
      </c>
      <c r="E55" s="15">
        <f t="shared" si="0"/>
        <v>0</v>
      </c>
    </row>
    <row r="56" spans="1:5" ht="15.75" hidden="1" customHeight="1">
      <c r="A56" s="5" t="s">
        <v>154</v>
      </c>
      <c r="B56" s="5" t="s">
        <v>155</v>
      </c>
      <c r="C56" s="5" t="str">
        <f>IF(COUNTIFS(GeneralResults!$E:$E,A56,GeneralResults!$A:$A,$C$1)=0,"",COUNTIFS(GeneralResults!$E:$E,A56,GeneralResults!$A:$A,$C$1))</f>
        <v/>
      </c>
      <c r="D56" s="5" t="str">
        <f>IF(COUNTIFS(GeneralResults!$E:$E,A56,GeneralResults!$A:$A,$D$1)=0,"",COUNTIFS(GeneralResults!$E:$E,A56,GeneralResults!$A:$A,$D$1))</f>
        <v/>
      </c>
      <c r="E56" s="15">
        <f t="shared" si="0"/>
        <v>0</v>
      </c>
    </row>
    <row r="57" spans="1:5" ht="15.75" hidden="1" customHeight="1">
      <c r="A57" s="5" t="s">
        <v>156</v>
      </c>
      <c r="B57" s="5" t="s">
        <v>157</v>
      </c>
      <c r="C57" s="5" t="str">
        <f>IF(COUNTIFS(GeneralResults!$E:$E,A57,GeneralResults!$A:$A,$C$1)=0,"",COUNTIFS(GeneralResults!$E:$E,A57,GeneralResults!$A:$A,$C$1))</f>
        <v/>
      </c>
      <c r="D57" s="5" t="str">
        <f>IF(COUNTIFS(GeneralResults!$E:$E,A57,GeneralResults!$A:$A,$D$1)=0,"",COUNTIFS(GeneralResults!$E:$E,A57,GeneralResults!$A:$A,$D$1))</f>
        <v/>
      </c>
      <c r="E57" s="15">
        <f t="shared" si="0"/>
        <v>0</v>
      </c>
    </row>
    <row r="58" spans="1:5" ht="15.75" hidden="1" customHeight="1">
      <c r="A58" s="5" t="s">
        <v>158</v>
      </c>
      <c r="B58" s="5" t="s">
        <v>159</v>
      </c>
      <c r="C58" s="5" t="str">
        <f>IF(COUNTIFS(GeneralResults!$E:$E,A58,GeneralResults!$A:$A,$C$1)=0,"",COUNTIFS(GeneralResults!$E:$E,A58,GeneralResults!$A:$A,$C$1))</f>
        <v/>
      </c>
      <c r="D58" s="5" t="str">
        <f>IF(COUNTIFS(GeneralResults!$E:$E,A58,GeneralResults!$A:$A,$D$1)=0,"",COUNTIFS(GeneralResults!$E:$E,A58,GeneralResults!$A:$A,$D$1))</f>
        <v/>
      </c>
      <c r="E58" s="15">
        <f t="shared" si="0"/>
        <v>0</v>
      </c>
    </row>
    <row r="59" spans="1:5" ht="15.75" hidden="1" customHeight="1">
      <c r="A59" s="5" t="s">
        <v>160</v>
      </c>
      <c r="B59" s="5" t="s">
        <v>161</v>
      </c>
      <c r="C59" s="5" t="str">
        <f>IF(COUNTIFS(GeneralResults!$E:$E,A59,GeneralResults!$A:$A,$C$1)=0,"",COUNTIFS(GeneralResults!$E:$E,A59,GeneralResults!$A:$A,$C$1))</f>
        <v/>
      </c>
      <c r="D59" s="5" t="str">
        <f>IF(COUNTIFS(GeneralResults!$E:$E,A59,GeneralResults!$A:$A,$D$1)=0,"",COUNTIFS(GeneralResults!$E:$E,A59,GeneralResults!$A:$A,$D$1))</f>
        <v/>
      </c>
      <c r="E59" s="15">
        <f t="shared" si="0"/>
        <v>0</v>
      </c>
    </row>
    <row r="60" spans="1:5" ht="15.75" hidden="1" customHeight="1">
      <c r="A60" s="5" t="s">
        <v>165</v>
      </c>
      <c r="B60" s="5" t="s">
        <v>166</v>
      </c>
      <c r="C60" s="5" t="str">
        <f>IF(COUNTIFS(GeneralResults!$E:$E,A60,GeneralResults!$A:$A,$C$1)=0,"",COUNTIFS(GeneralResults!$E:$E,A60,GeneralResults!$A:$A,$C$1))</f>
        <v/>
      </c>
      <c r="D60" s="5" t="str">
        <f>IF(COUNTIFS(GeneralResults!$E:$E,A60,GeneralResults!$A:$A,$D$1)=0,"",COUNTIFS(GeneralResults!$E:$E,A60,GeneralResults!$A:$A,$D$1))</f>
        <v/>
      </c>
      <c r="E60" s="15">
        <f t="shared" si="0"/>
        <v>0</v>
      </c>
    </row>
    <row r="61" spans="1:5" ht="15.75" hidden="1" customHeight="1">
      <c r="A61" s="5" t="s">
        <v>167</v>
      </c>
      <c r="B61" s="5" t="s">
        <v>168</v>
      </c>
      <c r="C61" s="5" t="str">
        <f>IF(COUNTIFS(GeneralResults!$E:$E,A61,GeneralResults!$A:$A,$C$1)=0,"",COUNTIFS(GeneralResults!$E:$E,A61,GeneralResults!$A:$A,$C$1))</f>
        <v/>
      </c>
      <c r="D61" s="5" t="str">
        <f>IF(COUNTIFS(GeneralResults!$E:$E,A61,GeneralResults!$A:$A,$D$1)=0,"",COUNTIFS(GeneralResults!$E:$E,A61,GeneralResults!$A:$A,$D$1))</f>
        <v/>
      </c>
      <c r="E61" s="15">
        <f t="shared" si="0"/>
        <v>0</v>
      </c>
    </row>
    <row r="62" spans="1:5" ht="15.75" hidden="1" customHeight="1">
      <c r="A62" s="5" t="s">
        <v>169</v>
      </c>
      <c r="B62" s="5" t="s">
        <v>170</v>
      </c>
      <c r="C62" s="5" t="str">
        <f>IF(COUNTIFS(GeneralResults!$E:$E,A62,GeneralResults!$A:$A,$C$1)=0,"",COUNTIFS(GeneralResults!$E:$E,A62,GeneralResults!$A:$A,$C$1))</f>
        <v/>
      </c>
      <c r="D62" s="5" t="str">
        <f>IF(COUNTIFS(GeneralResults!$E:$E,A62,GeneralResults!$A:$A,$D$1)=0,"",COUNTIFS(GeneralResults!$E:$E,A62,GeneralResults!$A:$A,$D$1))</f>
        <v/>
      </c>
      <c r="E62" s="15">
        <f t="shared" si="0"/>
        <v>0</v>
      </c>
    </row>
    <row r="63" spans="1:5" ht="15.75" hidden="1" customHeight="1">
      <c r="A63" s="5" t="s">
        <v>171</v>
      </c>
      <c r="B63" s="5" t="s">
        <v>172</v>
      </c>
      <c r="C63" s="5" t="str">
        <f>IF(COUNTIFS(GeneralResults!$E:$E,A63,GeneralResults!$A:$A,$C$1)=0,"",COUNTIFS(GeneralResults!$E:$E,A63,GeneralResults!$A:$A,$C$1))</f>
        <v/>
      </c>
      <c r="D63" s="5" t="str">
        <f>IF(COUNTIFS(GeneralResults!$E:$E,A63,GeneralResults!$A:$A,$D$1)=0,"",COUNTIFS(GeneralResults!$E:$E,A63,GeneralResults!$A:$A,$D$1))</f>
        <v/>
      </c>
      <c r="E63" s="15">
        <f t="shared" si="0"/>
        <v>0</v>
      </c>
    </row>
    <row r="64" spans="1:5" ht="15.75" hidden="1" customHeight="1">
      <c r="A64" s="5" t="s">
        <v>173</v>
      </c>
      <c r="B64" s="5" t="s">
        <v>174</v>
      </c>
      <c r="C64" s="5" t="str">
        <f>IF(COUNTIFS(GeneralResults!$E:$E,A64,GeneralResults!$A:$A,$C$1)=0,"",COUNTIFS(GeneralResults!$E:$E,A64,GeneralResults!$A:$A,$C$1))</f>
        <v/>
      </c>
      <c r="D64" s="5" t="str">
        <f>IF(COUNTIFS(GeneralResults!$E:$E,A64,GeneralResults!$A:$A,$D$1)=0,"",COUNTIFS(GeneralResults!$E:$E,A64,GeneralResults!$A:$A,$D$1))</f>
        <v/>
      </c>
      <c r="E64" s="15">
        <f t="shared" si="0"/>
        <v>0</v>
      </c>
    </row>
    <row r="65" spans="1:5" ht="15.75" hidden="1" customHeight="1">
      <c r="A65" s="5" t="s">
        <v>175</v>
      </c>
      <c r="B65" s="5" t="s">
        <v>176</v>
      </c>
      <c r="C65" s="5" t="str">
        <f>IF(COUNTIFS(GeneralResults!$E:$E,A65,GeneralResults!$A:$A,$C$1)=0,"",COUNTIFS(GeneralResults!$E:$E,A65,GeneralResults!$A:$A,$C$1))</f>
        <v/>
      </c>
      <c r="D65" s="5" t="str">
        <f>IF(COUNTIFS(GeneralResults!$E:$E,A65,GeneralResults!$A:$A,$D$1)=0,"",COUNTIFS(GeneralResults!$E:$E,A65,GeneralResults!$A:$A,$D$1))</f>
        <v/>
      </c>
      <c r="E65" s="15">
        <f t="shared" si="0"/>
        <v>0</v>
      </c>
    </row>
    <row r="66" spans="1:5" ht="15.75" hidden="1" customHeight="1">
      <c r="A66" s="5" t="s">
        <v>179</v>
      </c>
      <c r="B66" s="5" t="s">
        <v>180</v>
      </c>
      <c r="C66" s="5" t="str">
        <f>IF(COUNTIFS(GeneralResults!$E:$E,A66,GeneralResults!$A:$A,$C$1)=0,"",COUNTIFS(GeneralResults!$E:$E,A66,GeneralResults!$A:$A,$C$1))</f>
        <v/>
      </c>
      <c r="D66" s="5" t="str">
        <f>IF(COUNTIFS(GeneralResults!$E:$E,A66,GeneralResults!$A:$A,$D$1)=0,"",COUNTIFS(GeneralResults!$E:$E,A66,GeneralResults!$A:$A,$D$1))</f>
        <v/>
      </c>
      <c r="E66" s="15">
        <f t="shared" si="0"/>
        <v>0</v>
      </c>
    </row>
    <row r="67" spans="1:5" ht="15.75" hidden="1" customHeight="1">
      <c r="A67" s="5" t="s">
        <v>181</v>
      </c>
      <c r="B67" s="5" t="s">
        <v>182</v>
      </c>
      <c r="C67" s="5" t="str">
        <f>IF(COUNTIFS(GeneralResults!$E:$E,A67,GeneralResults!$A:$A,$C$1)=0,"",COUNTIFS(GeneralResults!$E:$E,A67,GeneralResults!$A:$A,$C$1))</f>
        <v/>
      </c>
      <c r="D67" s="5" t="str">
        <f>IF(COUNTIFS(GeneralResults!$E:$E,A67,GeneralResults!$A:$A,$D$1)=0,"",COUNTIFS(GeneralResults!$E:$E,A67,GeneralResults!$A:$A,$D$1))</f>
        <v/>
      </c>
      <c r="E67" s="15">
        <f t="shared" si="0"/>
        <v>0</v>
      </c>
    </row>
    <row r="68" spans="1:5" ht="15.75" hidden="1" customHeight="1">
      <c r="A68" s="5" t="s">
        <v>183</v>
      </c>
      <c r="B68" s="5" t="s">
        <v>184</v>
      </c>
      <c r="C68" s="5" t="str">
        <f>IF(COUNTIFS(GeneralResults!$E:$E,A68,GeneralResults!$A:$A,$C$1)=0,"",COUNTIFS(GeneralResults!$E:$E,A68,GeneralResults!$A:$A,$C$1))</f>
        <v/>
      </c>
      <c r="D68" s="5" t="str">
        <f>IF(COUNTIFS(GeneralResults!$E:$E,A68,GeneralResults!$A:$A,$D$1)=0,"",COUNTIFS(GeneralResults!$E:$E,A68,GeneralResults!$A:$A,$D$1))</f>
        <v/>
      </c>
      <c r="E68" s="15">
        <f t="shared" si="0"/>
        <v>0</v>
      </c>
    </row>
    <row r="69" spans="1:5" ht="15.75" hidden="1" customHeight="1">
      <c r="A69" s="5" t="s">
        <v>185</v>
      </c>
      <c r="B69" s="5" t="s">
        <v>186</v>
      </c>
      <c r="C69" s="5" t="str">
        <f>IF(COUNTIFS(GeneralResults!$E:$E,A69,GeneralResults!$A:$A,$C$1)=0,"",COUNTIFS(GeneralResults!$E:$E,A69,GeneralResults!$A:$A,$C$1))</f>
        <v/>
      </c>
      <c r="D69" s="5" t="str">
        <f>IF(COUNTIFS(GeneralResults!$E:$E,A69,GeneralResults!$A:$A,$D$1)=0,"",COUNTIFS(GeneralResults!$E:$E,A69,GeneralResults!$A:$A,$D$1))</f>
        <v/>
      </c>
      <c r="E69" s="15">
        <f t="shared" si="0"/>
        <v>0</v>
      </c>
    </row>
    <row r="70" spans="1:5" ht="15.75" hidden="1" customHeight="1">
      <c r="A70" s="5" t="s">
        <v>187</v>
      </c>
      <c r="B70" s="5" t="s">
        <v>188</v>
      </c>
      <c r="C70" s="5" t="str">
        <f>IF(COUNTIFS(GeneralResults!$E:$E,A70,GeneralResults!$A:$A,$C$1)=0,"",COUNTIFS(GeneralResults!$E:$E,A70,GeneralResults!$A:$A,$C$1))</f>
        <v/>
      </c>
      <c r="D70" s="5" t="str">
        <f>IF(COUNTIFS(GeneralResults!$E:$E,A70,GeneralResults!$A:$A,$D$1)=0,"",COUNTIFS(GeneralResults!$E:$E,A70,GeneralResults!$A:$A,$D$1))</f>
        <v/>
      </c>
      <c r="E70" s="15">
        <f t="shared" si="0"/>
        <v>0</v>
      </c>
    </row>
    <row r="71" spans="1:5" ht="15.75" hidden="1" customHeight="1">
      <c r="A71" s="5" t="s">
        <v>191</v>
      </c>
      <c r="B71" s="5" t="s">
        <v>192</v>
      </c>
      <c r="C71" s="5" t="str">
        <f>IF(COUNTIFS(GeneralResults!$E:$E,A71,GeneralResults!$A:$A,$C$1)=0,"",COUNTIFS(GeneralResults!$E:$E,A71,GeneralResults!$A:$A,$C$1))</f>
        <v/>
      </c>
      <c r="D71" s="5" t="str">
        <f>IF(COUNTIFS(GeneralResults!$E:$E,A71,GeneralResults!$A:$A,$D$1)=0,"",COUNTIFS(GeneralResults!$E:$E,A71,GeneralResults!$A:$A,$D$1))</f>
        <v/>
      </c>
      <c r="E71" s="15">
        <f t="shared" si="0"/>
        <v>0</v>
      </c>
    </row>
    <row r="72" spans="1:5" ht="15.75" hidden="1" customHeight="1">
      <c r="A72" s="5" t="s">
        <v>193</v>
      </c>
      <c r="B72" s="5" t="s">
        <v>194</v>
      </c>
      <c r="C72" s="5" t="str">
        <f>IF(COUNTIFS(GeneralResults!$E:$E,A72,GeneralResults!$A:$A,$C$1)=0,"",COUNTIFS(GeneralResults!$E:$E,A72,GeneralResults!$A:$A,$C$1))</f>
        <v/>
      </c>
      <c r="D72" s="5" t="str">
        <f>IF(COUNTIFS(GeneralResults!$E:$E,A72,GeneralResults!$A:$A,$D$1)=0,"",COUNTIFS(GeneralResults!$E:$E,A72,GeneralResults!$A:$A,$D$1))</f>
        <v/>
      </c>
      <c r="E72" s="15">
        <f t="shared" si="0"/>
        <v>0</v>
      </c>
    </row>
    <row r="73" spans="1:5" ht="15.75" hidden="1" customHeight="1">
      <c r="A73" s="5" t="s">
        <v>195</v>
      </c>
      <c r="B73" s="5" t="s">
        <v>196</v>
      </c>
      <c r="C73" s="5" t="str">
        <f>IF(COUNTIFS(GeneralResults!$E:$E,A73,GeneralResults!$A:$A,$C$1)=0,"",COUNTIFS(GeneralResults!$E:$E,A73,GeneralResults!$A:$A,$C$1))</f>
        <v/>
      </c>
      <c r="D73" s="5" t="str">
        <f>IF(COUNTIFS(GeneralResults!$E:$E,A73,GeneralResults!$A:$A,$D$1)=0,"",COUNTIFS(GeneralResults!$E:$E,A73,GeneralResults!$A:$A,$D$1))</f>
        <v/>
      </c>
      <c r="E73" s="15">
        <f t="shared" si="0"/>
        <v>0</v>
      </c>
    </row>
    <row r="74" spans="1:5" ht="15.75" hidden="1" customHeight="1">
      <c r="A74" s="5" t="s">
        <v>197</v>
      </c>
      <c r="B74" s="5" t="s">
        <v>198</v>
      </c>
      <c r="C74" s="5" t="str">
        <f>IF(COUNTIFS(GeneralResults!$E:$E,A74,GeneralResults!$A:$A,$C$1)=0,"",COUNTIFS(GeneralResults!$E:$E,A74,GeneralResults!$A:$A,$C$1))</f>
        <v/>
      </c>
      <c r="D74" s="5" t="str">
        <f>IF(COUNTIFS(GeneralResults!$E:$E,A74,GeneralResults!$A:$A,$D$1)=0,"",COUNTIFS(GeneralResults!$E:$E,A74,GeneralResults!$A:$A,$D$1))</f>
        <v/>
      </c>
      <c r="E74" s="15">
        <f t="shared" si="0"/>
        <v>0</v>
      </c>
    </row>
    <row r="75" spans="1:5" ht="15.75" hidden="1" customHeight="1">
      <c r="A75" s="5" t="s">
        <v>199</v>
      </c>
      <c r="B75" s="5" t="s">
        <v>200</v>
      </c>
      <c r="C75" s="5" t="str">
        <f>IF(COUNTIFS(GeneralResults!$E:$E,A75,GeneralResults!$A:$A,$C$1)=0,"",COUNTIFS(GeneralResults!$E:$E,A75,GeneralResults!$A:$A,$C$1))</f>
        <v/>
      </c>
      <c r="D75" s="5" t="str">
        <f>IF(COUNTIFS(GeneralResults!$E:$E,A75,GeneralResults!$A:$A,$D$1)=0,"",COUNTIFS(GeneralResults!$E:$E,A75,GeneralResults!$A:$A,$D$1))</f>
        <v/>
      </c>
      <c r="E75" s="15">
        <f t="shared" si="0"/>
        <v>0</v>
      </c>
    </row>
    <row r="76" spans="1:5" ht="15.75" hidden="1" customHeight="1">
      <c r="A76" s="5" t="s">
        <v>201</v>
      </c>
      <c r="B76" s="5" t="s">
        <v>202</v>
      </c>
      <c r="C76" s="5" t="str">
        <f>IF(COUNTIFS(GeneralResults!$E:$E,A76,GeneralResults!$A:$A,$C$1)=0,"",COUNTIFS(GeneralResults!$E:$E,A76,GeneralResults!$A:$A,$C$1))</f>
        <v/>
      </c>
      <c r="D76" s="5" t="str">
        <f>IF(COUNTIFS(GeneralResults!$E:$E,A76,GeneralResults!$A:$A,$D$1)=0,"",COUNTIFS(GeneralResults!$E:$E,A76,GeneralResults!$A:$A,$D$1))</f>
        <v/>
      </c>
      <c r="E76" s="15">
        <f t="shared" si="0"/>
        <v>0</v>
      </c>
    </row>
    <row r="77" spans="1:5" ht="15.75" hidden="1" customHeight="1">
      <c r="A77" s="5" t="s">
        <v>205</v>
      </c>
      <c r="B77" s="5" t="s">
        <v>206</v>
      </c>
      <c r="C77" s="5" t="str">
        <f>IF(COUNTIFS(GeneralResults!$E:$E,A77,GeneralResults!$A:$A,$C$1)=0,"",COUNTIFS(GeneralResults!$E:$E,A77,GeneralResults!$A:$A,$C$1))</f>
        <v/>
      </c>
      <c r="D77" s="5" t="str">
        <f>IF(COUNTIFS(GeneralResults!$E:$E,A77,GeneralResults!$A:$A,$D$1)=0,"",COUNTIFS(GeneralResults!$E:$E,A77,GeneralResults!$A:$A,$D$1))</f>
        <v/>
      </c>
      <c r="E77" s="15">
        <f t="shared" si="0"/>
        <v>0</v>
      </c>
    </row>
    <row r="78" spans="1:5" ht="15.75" customHeight="1">
      <c r="A78" s="5" t="s">
        <v>20</v>
      </c>
      <c r="B78" s="5" t="s">
        <v>207</v>
      </c>
      <c r="C78" s="5">
        <f>IF(COUNTIFS(GeneralResults!$E:$E,A78,GeneralResults!$A:$A,$C$1)=0,"",COUNTIFS(GeneralResults!$E:$E,A78,GeneralResults!$A:$A,$C$1))</f>
        <v>1</v>
      </c>
      <c r="D78" s="5">
        <f>IF(COUNTIFS(GeneralResults!$E:$E,A78,GeneralResults!$A:$A,$D$1)=0,"",COUNTIFS(GeneralResults!$E:$E,A78,GeneralResults!$A:$A,$D$1))</f>
        <v>12</v>
      </c>
      <c r="E78" s="15">
        <f t="shared" si="0"/>
        <v>1</v>
      </c>
    </row>
    <row r="79" spans="1:5" ht="15.75" hidden="1" customHeight="1">
      <c r="A79" s="5" t="s">
        <v>208</v>
      </c>
      <c r="B79" s="5" t="s">
        <v>209</v>
      </c>
      <c r="C79" s="5" t="str">
        <f>IF(COUNTIFS(GeneralResults!$E:$E,A79,GeneralResults!$A:$A,$C$1)=0,"",COUNTIFS(GeneralResults!$E:$E,A79,GeneralResults!$A:$A,$C$1))</f>
        <v/>
      </c>
      <c r="D79" s="5" t="str">
        <f>IF(COUNTIFS(GeneralResults!$E:$E,A79,GeneralResults!$A:$A,$D$1)=0,"",COUNTIFS(GeneralResults!$E:$E,A79,GeneralResults!$A:$A,$D$1))</f>
        <v/>
      </c>
      <c r="E79" s="15">
        <f t="shared" si="0"/>
        <v>0</v>
      </c>
    </row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79" xr:uid="{00000000-0009-0000-0000-000005000000}">
    <filterColumn colId="4">
      <filters>
        <filter val="1"/>
      </filters>
    </filterColumn>
  </autoFilter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BaseTest</vt:lpstr>
      <vt:lpstr>BaseWcag</vt:lpstr>
      <vt:lpstr>GeneralResults</vt:lpstr>
      <vt:lpstr>WCAGPrincipleResult</vt:lpstr>
      <vt:lpstr>WCAGGuidelineResult</vt:lpstr>
      <vt:lpstr>WCAGGuidelineResultDynamic</vt:lpstr>
      <vt:lpstr>WCAGSuccessCriteriaResult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Teran</dc:creator>
  <cp:lastModifiedBy>Luciano Teran</cp:lastModifiedBy>
  <dcterms:created xsi:type="dcterms:W3CDTF">2023-12-15T04:28:53Z</dcterms:created>
  <dcterms:modified xsi:type="dcterms:W3CDTF">2024-04-28T18:04:49Z</dcterms:modified>
</cp:coreProperties>
</file>